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duct_Catalog" sheetId="1" state="visible" r:id="rId3"/>
    <sheet name="Supplier_Costs" sheetId="2" state="visible" r:id="rId4"/>
    <sheet name="Pricing_Analysi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<sst xmlns="http://schemas.openxmlformats.org/spreadsheetml/2006/main" count="59" uniqueCount="50">
  <si>
    <t xml:space="preserve">Task 3</t>
  </si>
  <si>
    <t xml:space="preserve">Product</t>
  </si>
  <si>
    <t xml:space="preserve">Retail</t>
  </si>
  <si>
    <t xml:space="preserve">Category</t>
  </si>
  <si>
    <t xml:space="preserve">ID</t>
  </si>
  <si>
    <t xml:space="preserve">Name</t>
  </si>
  <si>
    <t xml:space="preserve">Price</t>
  </si>
  <si>
    <t xml:space="preserve">P1203</t>
  </si>
  <si>
    <t xml:space="preserve">Gadget</t>
  </si>
  <si>
    <t xml:space="preserve">Electronics</t>
  </si>
  <si>
    <t xml:space="preserve">P2030</t>
  </si>
  <si>
    <t xml:space="preserve">Mouse</t>
  </si>
  <si>
    <t xml:space="preserve">P4030</t>
  </si>
  <si>
    <t xml:space="preserve">Bike</t>
  </si>
  <si>
    <t xml:space="preserve">Home &amp; Garden</t>
  </si>
  <si>
    <t xml:space="preserve">P6670</t>
  </si>
  <si>
    <t xml:space="preserve">Pen</t>
  </si>
  <si>
    <t xml:space="preserve">Office Supplies</t>
  </si>
  <si>
    <t xml:space="preserve">Product </t>
  </si>
  <si>
    <t xml:space="preserve">Supplier</t>
  </si>
  <si>
    <t xml:space="preserve">Unit</t>
  </si>
  <si>
    <t xml:space="preserve">Last Updated</t>
  </si>
  <si>
    <t xml:space="preserve">Cost</t>
  </si>
  <si>
    <t xml:space="preserve">Intro Shop</t>
  </si>
  <si>
    <t xml:space="preserve">Techno Corp.</t>
  </si>
  <si>
    <t xml:space="preserve">Sporties</t>
  </si>
  <si>
    <t xml:space="preserve">OfficeMax</t>
  </si>
  <si>
    <t xml:space="preserve">Product Analysis</t>
  </si>
  <si>
    <t xml:space="preserve">Pricing Data</t>
  </si>
  <si>
    <t xml:space="preserve">Margin Requirements</t>
  </si>
  <si>
    <t xml:space="preserve">Calculated Metrics</t>
  </si>
  <si>
    <t xml:space="preserve">Validation</t>
  </si>
  <si>
    <t xml:space="preserve">Recommendations</t>
  </si>
  <si>
    <t xml:space="preserve">Product ID</t>
  </si>
  <si>
    <t xml:space="preserve">Product Name</t>
  </si>
  <si>
    <t xml:space="preserve">Current Retail Price</t>
  </si>
  <si>
    <t xml:space="preserve">Supplier Cost</t>
  </si>
  <si>
    <t xml:space="preserve">Required Markup %:</t>
  </si>
  <si>
    <t xml:space="preserve">Minimum Price:</t>
  </si>
  <si>
    <t xml:space="preserve">Actual Markup $:</t>
  </si>
  <si>
    <t xml:space="preserve">Actual Markup %:</t>
  </si>
  <si>
    <t xml:space="preserve">Profit per Unit:</t>
  </si>
  <si>
    <t xml:space="preserve">Price vs Minimum</t>
  </si>
  <si>
    <t xml:space="preserve">Pricing Status</t>
  </si>
  <si>
    <t xml:space="preserve">Competitive Price</t>
  </si>
  <si>
    <t xml:space="preserve">Recommendation</t>
  </si>
  <si>
    <t xml:space="preserve">Questions</t>
  </si>
  <si>
    <t xml:space="preserve">Which cells from the “Product Catalog” sheet influence the pricing status in K3 ?</t>
  </si>
  <si>
    <t xml:space="preserve">Which cells from the “Supplier Cost” sheet influence the pricing status in K3 ?</t>
  </si>
  <si>
    <t xml:space="preserve">Explain in your words what the formula in  D3 is doing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</si>
</sst>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.00;[RED]\-[$$-409]#,##0.00"/>
    <numFmt numFmtId="166" formatCode="mm/dd/yy"/>
    <numFmt numFmtId="167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2"/>
      <c r="C1" s="2"/>
      <c r="D1" s="2"/>
    </row>
    <row r="2" customFormat="false" ht="12.8" hidden="false" customHeight="false" outlineLevel="0" collapsed="false">
      <c r="A2" s="1" t="s">
        <v>1</v>
      </c>
      <c r="B2" s="1" t="s">
        <v>1</v>
      </c>
      <c r="C2" s="1" t="s">
        <v>2</v>
      </c>
      <c r="D2" s="1" t="s">
        <v>3</v>
      </c>
    </row>
    <row r="3" customFormat="false" ht="12.8" hidden="false" customHeight="false" outlineLevel="0" collapsed="false">
      <c r="A3" s="3" t="s">
        <v>4</v>
      </c>
      <c r="B3" s="3" t="s">
        <v>5</v>
      </c>
      <c r="C3" s="3" t="s">
        <v>6</v>
      </c>
    </row>
    <row r="4" customFormat="false" ht="12.8" hidden="false" customHeight="false" outlineLevel="0" collapsed="false">
      <c r="A4" s="3" t="s">
        <v>7</v>
      </c>
      <c r="B4" s="3" t="s">
        <v>8</v>
      </c>
      <c r="C4" s="4" t="n">
        <v>48</v>
      </c>
      <c r="D4" s="3" t="s">
        <v>9</v>
      </c>
    </row>
    <row r="5" customFormat="false" ht="12.8" hidden="false" customHeight="false" outlineLevel="0" collapsed="false">
      <c r="A5" s="3" t="s">
        <v>10</v>
      </c>
      <c r="B5" s="3" t="s">
        <v>11</v>
      </c>
      <c r="C5" s="4" t="n">
        <v>80</v>
      </c>
      <c r="D5" s="3" t="s">
        <v>9</v>
      </c>
    </row>
    <row r="6" customFormat="false" ht="12.8" hidden="false" customHeight="false" outlineLevel="0" collapsed="false">
      <c r="A6" s="3" t="s">
        <v>12</v>
      </c>
      <c r="B6" s="3" t="s">
        <v>13</v>
      </c>
      <c r="C6" s="4" t="n">
        <v>300</v>
      </c>
      <c r="D6" s="3" t="s">
        <v>14</v>
      </c>
    </row>
    <row r="7" customFormat="false" ht="12.8" hidden="false" customHeight="false" outlineLevel="0" collapsed="false">
      <c r="A7" s="3" t="s">
        <v>15</v>
      </c>
      <c r="B7" s="3" t="s">
        <v>16</v>
      </c>
      <c r="C7" s="4" t="n">
        <v>9</v>
      </c>
      <c r="D7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22</v>
      </c>
      <c r="D2" s="2"/>
    </row>
    <row r="3" customFormat="false" ht="12.8" hidden="false" customHeight="false" outlineLevel="0" collapsed="false">
      <c r="A3" s="3" t="s">
        <v>7</v>
      </c>
      <c r="B3" s="3" t="s">
        <v>23</v>
      </c>
      <c r="C3" s="4" t="n">
        <v>28</v>
      </c>
      <c r="D3" s="5" t="n">
        <v>45658</v>
      </c>
    </row>
    <row r="4" customFormat="false" ht="12.8" hidden="false" customHeight="false" outlineLevel="0" collapsed="false">
      <c r="A4" s="3" t="s">
        <v>10</v>
      </c>
      <c r="B4" s="3" t="s">
        <v>24</v>
      </c>
      <c r="C4" s="4" t="n">
        <v>52</v>
      </c>
      <c r="D4" s="5" t="n">
        <v>45658</v>
      </c>
    </row>
    <row r="5" customFormat="false" ht="12.8" hidden="false" customHeight="false" outlineLevel="0" collapsed="false">
      <c r="A5" s="3" t="s">
        <v>12</v>
      </c>
      <c r="B5" s="3" t="s">
        <v>25</v>
      </c>
      <c r="C5" s="4" t="n">
        <v>85</v>
      </c>
      <c r="D5" s="5" t="n">
        <v>45627</v>
      </c>
    </row>
    <row r="6" customFormat="false" ht="12.8" hidden="false" customHeight="false" outlineLevel="0" collapsed="false">
      <c r="A6" s="3" t="s">
        <v>15</v>
      </c>
      <c r="B6" s="3" t="s">
        <v>26</v>
      </c>
      <c r="C6" s="4" t="n">
        <v>18</v>
      </c>
      <c r="D6" s="5" t="n">
        <v>45658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27</v>
      </c>
      <c r="B1" s="2"/>
      <c r="C1" s="1" t="s">
        <v>28</v>
      </c>
      <c r="D1" s="2"/>
      <c r="E1" s="1" t="s">
        <v>29</v>
      </c>
      <c r="F1" s="2"/>
      <c r="G1" s="1" t="s">
        <v>30</v>
      </c>
      <c r="H1" s="2"/>
      <c r="I1" s="2"/>
      <c r="J1" s="1" t="s">
        <v>31</v>
      </c>
      <c r="K1" s="2"/>
      <c r="L1" s="1" t="s">
        <v>32</v>
      </c>
      <c r="M1" s="2"/>
      <c r="N1" s="2"/>
    </row>
    <row r="2" customFormat="false" ht="12.8" hidden="false" customHeight="false" outlineLevel="0" collapsed="false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2"/>
    </row>
    <row r="3" customFormat="false" ht="12.8" hidden="false" customHeight="false" outlineLevel="0" collapsed="false">
      <c r="A3" s="3" t="s">
        <v>7</v>
      </c>
      <c r="B3" s="3" t="str">
        <f aca="false">VLOOKUP(A3,Product_Catalog!A4:B7,2,0)</f>
        <v>Gadget</v>
      </c>
      <c r="C3" s="3" t="n">
        <f aca="false">VLOOKUP(A3,Product_Catalog!A4:C7,3,0)</f>
        <v>48</v>
      </c>
      <c r="D3" s="3" t="n">
        <f aca="false">VLOOKUP(A3,Supplier_Costs!A3:C6,3,0)</f>
        <v>28</v>
      </c>
      <c r="E3" s="6" t="n">
        <v>0.5</v>
      </c>
      <c r="F3" s="3" t="n">
        <f aca="false">D3*(1+E3)</f>
        <v>42</v>
      </c>
      <c r="G3" s="3" t="n">
        <f aca="false">C3-D3</f>
        <v>20</v>
      </c>
      <c r="H3" s="3" t="n">
        <f aca="false">G3/D3%</f>
        <v>71.4285714285714</v>
      </c>
      <c r="I3" s="3" t="n">
        <f aca="false">G3</f>
        <v>20</v>
      </c>
      <c r="J3" s="3" t="str">
        <f aca="false">IF(C3&gt;=F3, "Above", "Below")</f>
        <v>Above</v>
      </c>
      <c r="K3" s="3" t="str">
        <f aca="false">IF(J3="Above", "APPROVED", "NEEDS REVIEW")</f>
        <v>APPROVED</v>
      </c>
      <c r="L3" s="3" t="n">
        <f aca="false">F3*0.95</f>
        <v>39.9</v>
      </c>
      <c r="M3" s="3" t="str">
        <f aca="false">IF(C3&gt;L3, "Lower Price", "Price OK")</f>
        <v>Lower Price</v>
      </c>
    </row>
    <row r="7" customFormat="false" ht="12.8" hidden="false" customHeight="false" outlineLevel="0" collapsed="false">
      <c r="A7" s="2" t="s">
        <v>46</v>
      </c>
    </row>
    <row r="8" customFormat="false" ht="12.8" hidden="false" customHeight="false" outlineLevel="0" collapsed="false">
      <c r="A8" s="0" t="n">
        <v>1</v>
      </c>
      <c r="B8" s="0" t="s">
        <v>47</v>
      </c>
    </row>
    <row r="9" customFormat="false" ht="12.8" hidden="false" customHeight="false" outlineLevel="0" collapsed="false">
      <c r="A9" s="0" t="n">
        <v>2</v>
      </c>
      <c r="B9" s="0" t="s">
        <v>48</v>
      </c>
    </row>
    <row r="10" customFormat="false" ht="12.8" hidden="false" customHeight="false" outlineLevel="0" collapsed="false">
      <c r="A10" s="0" t="n">
        <v>3</v>
      </c>
      <c r="B10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2026-01-27T14:58:46Z</dcterms:created>
  <dc:creator/>
  <dc:description/>
  <dc:language>en-US</dc:language>
  <cp:lastModifiedBy/>
  <dcterms:modified xsi:type="dcterms:W3CDTF">2026-02-01T18:52:14Z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