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<sst xmlns="http://schemas.openxmlformats.org/spreadsheetml/2006/main" count="34" uniqueCount="27">
  <si>
    <t xml:space="preserve">Task 1</t>
  </si>
  <si>
    <t xml:space="preserve">Employee Name</t>
  </si>
  <si>
    <t xml:space="preserve">Monthly Sales</t>
  </si>
  <si>
    <t xml:space="preserve">Sales Target</t>
  </si>
  <si>
    <t xml:space="preserve">Base Commission %</t>
  </si>
  <si>
    <t xml:space="preserve">Bonus %</t>
  </si>
  <si>
    <t xml:space="preserve">Sales Over Target</t>
  </si>
  <si>
    <t xml:space="preserve">Base Commission</t>
  </si>
  <si>
    <t xml:space="preserve">Performance Bonus</t>
  </si>
  <si>
    <t xml:space="preserve">Gross Commission</t>
  </si>
  <si>
    <t xml:space="preserve">Tax Deduction</t>
  </si>
  <si>
    <t xml:space="preserve">Final Commission</t>
  </si>
  <si>
    <t xml:space="preserve">Bob</t>
  </si>
  <si>
    <t xml:space="preserve">Alice</t>
  </si>
  <si>
    <t xml:space="preserve">Dirk</t>
  </si>
  <si>
    <t xml:space="preserve">Melissa</t>
  </si>
  <si>
    <t xml:space="preserve">Levant</t>
  </si>
  <si>
    <t xml:space="preserve">Zora</t>
  </si>
  <si>
    <t xml:space="preserve">Commission Rates</t>
  </si>
  <si>
    <t xml:space="preserve">Commission Rate %</t>
  </si>
  <si>
    <t xml:space="preserve">Questions</t>
  </si>
  <si>
    <t xml:space="preserve">What are the User inputs to the cell K3 (I.e which cells are just data and not a formula ==&gt; user inputs it)</t>
  </si>
  <si>
    <t xml:space="preserve">Explain how the final commission is calculated ?</t>
  </si>
  <si>
    <t xml:space="preserve">Zora receives a bonus of 39$, under which condition would Zora not receive a bonus ?</t>
  </si>
  <si>
    <t xml:space="preserve">What changes if we change Bob’s Sales Target to 15’000$</t>
  </si>
  <si>
    <t xml:space="preserve">What was the hardest part in answering these questions ?</t>
  </si>
  <si>
    <t xml:space="preserve">There is an error in Levants Base Commission correct it.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</si>
</sst>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-409]#,##0.00;[RED]\-[$$-409]#,##0.00"/>
    <numFmt numFmtId="166" formatCode="0.00%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customFormat="false" ht="12.8" hidden="false" customHeight="false" outlineLevel="0" collapsed="false">
      <c r="A3" s="2" t="s">
        <v>12</v>
      </c>
      <c r="B3" s="3" t="n">
        <v>12500</v>
      </c>
      <c r="C3" s="3" t="n">
        <v>10000</v>
      </c>
      <c r="D3" s="4" t="n">
        <f aca="false">VLOOKUP(A3,$A$13:$B$18, 2, 0)</f>
        <v>0.05</v>
      </c>
      <c r="E3" s="4" t="n">
        <v>0.02</v>
      </c>
      <c r="F3" s="3" t="n">
        <f aca="false">B3-C3</f>
        <v>2500</v>
      </c>
      <c r="G3" s="3" t="n">
        <f aca="false">B3*D3</f>
        <v>625</v>
      </c>
      <c r="H3" s="3" t="n">
        <f aca="false">IF(F3&gt;0, F3*E3, 0)</f>
        <v>50</v>
      </c>
      <c r="I3" s="3" t="n">
        <f aca="false">G3+H3</f>
        <v>675</v>
      </c>
      <c r="J3" s="3" t="n">
        <f aca="false">I3*0.1</f>
        <v>67.5</v>
      </c>
      <c r="K3" s="3" t="n">
        <f aca="false">I3-J3</f>
        <v>607.5</v>
      </c>
    </row>
    <row r="4" customFormat="false" ht="12.8" hidden="false" customHeight="false" outlineLevel="0" collapsed="false">
      <c r="A4" s="2" t="s">
        <v>13</v>
      </c>
      <c r="B4" s="3" t="n">
        <v>9800</v>
      </c>
      <c r="C4" s="3" t="n">
        <v>10000</v>
      </c>
      <c r="D4" s="4" t="n">
        <f aca="false">VLOOKUP(A4,$A$13:$B$18, 2, 0)</f>
        <v>0.05</v>
      </c>
      <c r="E4" s="4" t="n">
        <v>0.02</v>
      </c>
      <c r="F4" s="3" t="n">
        <f aca="false">B4-C4</f>
        <v>-200</v>
      </c>
      <c r="G4" s="3" t="n">
        <f aca="false">B4*D4</f>
        <v>490</v>
      </c>
      <c r="H4" s="3" t="n">
        <f aca="false">IF(F4&gt;0, F4*E4, 0)</f>
        <v>0</v>
      </c>
      <c r="I4" s="3" t="n">
        <f aca="false">G4+H4</f>
        <v>490</v>
      </c>
      <c r="J4" s="3" t="n">
        <f aca="false">I4*0.1</f>
        <v>49</v>
      </c>
      <c r="K4" s="3" t="n">
        <f aca="false">I4-J4</f>
        <v>441</v>
      </c>
    </row>
    <row r="5" customFormat="false" ht="12.8" hidden="false" customHeight="false" outlineLevel="0" collapsed="false">
      <c r="A5" s="2" t="s">
        <v>14</v>
      </c>
      <c r="B5" s="3" t="n">
        <v>11200</v>
      </c>
      <c r="C5" s="3" t="n">
        <v>10000</v>
      </c>
      <c r="D5" s="4" t="n">
        <f aca="false">VLOOKUP(A5,$A$13:$B$18, 2, 0)</f>
        <v>0.03</v>
      </c>
      <c r="E5" s="4" t="n">
        <v>0.05</v>
      </c>
      <c r="F5" s="3" t="n">
        <f aca="false">B5-C5</f>
        <v>1200</v>
      </c>
      <c r="G5" s="3" t="n">
        <f aca="false">B5*D5</f>
        <v>336</v>
      </c>
      <c r="H5" s="3" t="n">
        <f aca="false">IF(F5&gt;0, F5*E5, 0)</f>
        <v>60</v>
      </c>
      <c r="I5" s="3" t="n">
        <f aca="false">G5+H5</f>
        <v>396</v>
      </c>
      <c r="J5" s="3" t="n">
        <f aca="false">I5*0.1</f>
        <v>39.6</v>
      </c>
      <c r="K5" s="3" t="n">
        <f aca="false">I5-J5</f>
        <v>356.4</v>
      </c>
    </row>
    <row r="6" customFormat="false" ht="12.8" hidden="false" customHeight="false" outlineLevel="0" collapsed="false">
      <c r="A6" s="2" t="s">
        <v>15</v>
      </c>
      <c r="B6" s="3" t="n">
        <v>4500</v>
      </c>
      <c r="C6" s="3" t="n">
        <v>4200</v>
      </c>
      <c r="D6" s="4" t="n">
        <f aca="false">VLOOKUP(A6,$A$13:$B$18, 2, 0)</f>
        <v>0.015</v>
      </c>
      <c r="E6" s="4" t="n">
        <v>0.02</v>
      </c>
      <c r="F6" s="3" t="n">
        <f aca="false">B6-C6</f>
        <v>300</v>
      </c>
      <c r="G6" s="3" t="n">
        <f aca="false">B6*D6</f>
        <v>67.5</v>
      </c>
      <c r="H6" s="3" t="n">
        <f aca="false">IF(F6&gt;0, F6*E6, 0)</f>
        <v>6</v>
      </c>
      <c r="I6" s="3" t="n">
        <f aca="false">G6+H6</f>
        <v>73.5</v>
      </c>
      <c r="J6" s="3" t="n">
        <f aca="false">I6*0.1</f>
        <v>7.35</v>
      </c>
      <c r="K6" s="3" t="n">
        <f aca="false">I6-J6</f>
        <v>66.15</v>
      </c>
    </row>
    <row r="7" customFormat="false" ht="12.8" hidden="false" customHeight="false" outlineLevel="0" collapsed="false">
      <c r="A7" s="2" t="s">
        <v>16</v>
      </c>
      <c r="B7" s="3" t="n">
        <v>8900</v>
      </c>
      <c r="C7" s="3" t="n">
        <v>8000</v>
      </c>
      <c r="D7" s="4" t="n">
        <f aca="false">VLOOKUP(A3,$A$13:$B$18, 2, 0)</f>
        <v>0.05</v>
      </c>
      <c r="E7" s="4" t="n">
        <v>0.02</v>
      </c>
      <c r="F7" s="3" t="n">
        <f aca="false">B7-C7</f>
        <v>900</v>
      </c>
      <c r="G7" s="3" t="n">
        <f aca="false">B7*D7</f>
        <v>445</v>
      </c>
      <c r="H7" s="3" t="n">
        <f aca="false">IF(F7&gt;0, F7*E7, 0)</f>
        <v>18</v>
      </c>
      <c r="I7" s="3" t="n">
        <f aca="false">G7+H7</f>
        <v>463</v>
      </c>
      <c r="J7" s="3" t="n">
        <f aca="false">I7*0.1</f>
        <v>46.3</v>
      </c>
      <c r="K7" s="3" t="n">
        <f aca="false">I7-J7</f>
        <v>416.7</v>
      </c>
    </row>
    <row r="8" customFormat="false" ht="12.8" hidden="false" customHeight="false" outlineLevel="0" collapsed="false">
      <c r="A8" s="2" t="s">
        <v>17</v>
      </c>
      <c r="B8" s="3" t="n">
        <v>13300</v>
      </c>
      <c r="C8" s="3" t="n">
        <v>12000</v>
      </c>
      <c r="D8" s="4" t="n">
        <f aca="false">VLOOKUP(A8,$A$13:$B$18, 2, 0)</f>
        <v>0.055</v>
      </c>
      <c r="E8" s="4" t="n">
        <v>0.03</v>
      </c>
      <c r="F8" s="3" t="n">
        <f aca="false">B8-C8</f>
        <v>1300</v>
      </c>
      <c r="G8" s="3" t="n">
        <f aca="false">B8*D8</f>
        <v>731.5</v>
      </c>
      <c r="H8" s="3" t="n">
        <f aca="false">IF(F8&gt;0, F8*E8, 0)</f>
        <v>39</v>
      </c>
      <c r="I8" s="3" t="n">
        <f aca="false">G8+H8</f>
        <v>770.5</v>
      </c>
      <c r="J8" s="3" t="n">
        <f aca="false">I8*0.1</f>
        <v>77.05</v>
      </c>
      <c r="K8" s="3" t="n">
        <f aca="false">I8-J8</f>
        <v>693.45</v>
      </c>
    </row>
    <row r="11" customFormat="false" ht="12.8" hidden="false" customHeight="false" outlineLevel="0" collapsed="false">
      <c r="A11" s="1" t="s">
        <v>18</v>
      </c>
    </row>
    <row r="12" customFormat="false" ht="12.8" hidden="false" customHeight="false" outlineLevel="0" collapsed="false">
      <c r="A12" s="1" t="s">
        <v>1</v>
      </c>
      <c r="B12" s="1" t="s">
        <v>19</v>
      </c>
    </row>
    <row r="13" customFormat="false" ht="12.8" hidden="false" customHeight="false" outlineLevel="0" collapsed="false">
      <c r="A13" s="2" t="s">
        <v>13</v>
      </c>
      <c r="B13" s="4" t="n">
        <v>0.05</v>
      </c>
    </row>
    <row r="14" customFormat="false" ht="12.8" hidden="false" customHeight="false" outlineLevel="0" collapsed="false">
      <c r="A14" s="2" t="s">
        <v>12</v>
      </c>
      <c r="B14" s="4" t="n">
        <v>0.05</v>
      </c>
    </row>
    <row r="15" customFormat="false" ht="12.8" hidden="false" customHeight="false" outlineLevel="0" collapsed="false">
      <c r="A15" s="2" t="s">
        <v>14</v>
      </c>
      <c r="B15" s="4" t="n">
        <v>0.03</v>
      </c>
    </row>
    <row r="16" customFormat="false" ht="12.8" hidden="false" customHeight="false" outlineLevel="0" collapsed="false">
      <c r="A16" s="2" t="s">
        <v>16</v>
      </c>
      <c r="B16" s="4" t="n">
        <v>0.05</v>
      </c>
    </row>
    <row r="17" customFormat="false" ht="12.8" hidden="false" customHeight="false" outlineLevel="0" collapsed="false">
      <c r="A17" s="2" t="s">
        <v>15</v>
      </c>
      <c r="B17" s="4" t="n">
        <v>0.015</v>
      </c>
    </row>
    <row r="18" customFormat="false" ht="12.8" hidden="false" customHeight="false" outlineLevel="0" collapsed="false">
      <c r="A18" s="2" t="s">
        <v>17</v>
      </c>
      <c r="B18" s="4" t="n">
        <v>0.055</v>
      </c>
    </row>
    <row r="22" customFormat="false" ht="12.8" hidden="false" customHeight="false" outlineLevel="0" collapsed="false">
      <c r="A22" s="1" t="s">
        <v>20</v>
      </c>
    </row>
    <row r="23" customFormat="false" ht="12.8" hidden="false" customHeight="false" outlineLevel="0" collapsed="false">
      <c r="A23" s="5" t="n">
        <v>1</v>
      </c>
      <c r="B23" s="5" t="s">
        <v>21</v>
      </c>
    </row>
    <row r="24" customFormat="false" ht="12.8" hidden="false" customHeight="false" outlineLevel="0" collapsed="false">
      <c r="A24" s="5" t="n">
        <v>2</v>
      </c>
      <c r="B24" s="5" t="s">
        <v>22</v>
      </c>
    </row>
    <row r="25" customFormat="false" ht="12.8" hidden="false" customHeight="false" outlineLevel="0" collapsed="false">
      <c r="A25" s="5" t="n">
        <v>3</v>
      </c>
      <c r="B25" s="5" t="s">
        <v>23</v>
      </c>
    </row>
    <row r="26" customFormat="false" ht="12.8" hidden="false" customHeight="false" outlineLevel="0" collapsed="false">
      <c r="A26" s="5" t="n">
        <v>4</v>
      </c>
      <c r="B26" s="5" t="s">
        <v>24</v>
      </c>
    </row>
    <row r="27" customFormat="false" ht="12.8" hidden="false" customHeight="false" outlineLevel="0" collapsed="false">
      <c r="A27" s="5" t="n">
        <v>5</v>
      </c>
      <c r="B27" s="5" t="s">
        <v>25</v>
      </c>
    </row>
    <row r="28" customFormat="false" ht="12.8" hidden="false" customHeight="false" outlineLevel="0" collapsed="false">
      <c r="A28" s="0" t="n">
        <v>6</v>
      </c>
      <c r="B28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2026-01-27T14:24:03Z</dcterms:created>
  <dc:creator/>
  <dc:description/>
  <dc:language>en-US</dc:language>
  <cp:lastModifiedBy/>
  <dcterms:modified xsi:type="dcterms:W3CDTF">2026-02-05T10:38:15Z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