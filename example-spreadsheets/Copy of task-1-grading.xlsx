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  <sheet state="hidden" name="__FF_PREVIEW__0" sheetId="2" r:id="rId5"/>
    <sheet state="hidden" name="__FF_CACHE__" sheetId="3" r:id="rId6"/>
    <sheet state="hidden" name="__FF_EVAL__" sheetId="4" r:id="rId7"/>
    <sheet state="hidden" name="__FF_NOTES__" sheetId="5" r:id="rId8"/>
  </sheets>
  <definedNames/>
  <calcPr/>
</workbook>
</file>

<file path=xl/sharedStrings.xml><?xml version="1.0" encoding="utf-8"?>
<sst xmlns="http://schemas.openxmlformats.org/spreadsheetml/2006/main" count="39" uniqueCount="33">
  <si>
    <t>The final Grade is represented by 10% of Midterm Grade, 10% of Endterm Grade, 20% of Project Grade and 60% of the final exam Grade. Additionally if a student has solved more than 6 Homeworks the student receives a bonus of 0.3 to the final Grade. The final Grade is in the range between 1 and 6 and rounded to the next half grade.</t>
  </si>
  <si>
    <t>Student</t>
  </si>
  <si>
    <t>Midterm</t>
  </si>
  <si>
    <t>Endterm</t>
  </si>
  <si>
    <t>Project</t>
  </si>
  <si>
    <t>Final Exam</t>
  </si>
  <si>
    <t>solved HW's</t>
  </si>
  <si>
    <t>final Grade</t>
  </si>
  <si>
    <t>Alice</t>
  </si>
  <si>
    <t>Bob</t>
  </si>
  <si>
    <t>Charlie</t>
  </si>
  <si>
    <t>Average</t>
  </si>
  <si>
    <t>SheetName</t>
  </si>
  <si>
    <t>A1</t>
  </si>
  <si>
    <t>FormulaHash</t>
  </si>
  <si>
    <t>Mode</t>
  </si>
  <si>
    <t>Version</t>
  </si>
  <si>
    <t>PayloadJSON</t>
  </si>
  <si>
    <t>UpdatedAt</t>
  </si>
  <si>
    <t>Tabellenblatt1</t>
  </si>
  <si>
    <t>G5</t>
  </si>
  <si>
    <t>5b7d175857824aec43ee506ae53c037e</t>
  </si>
  <si>
    <t>live</t>
  </si>
  <si>
    <t>{"substitutedFormula":"=ROUND(2*MAX(1; MIN(6;(0,1*4+0,1*4,75+0,2*6+0,6*5,25) + IF(7 &gt;= 6;0,3;0)));0)/2","referenceDetails":[{"type":"Range","token":"B5","preview":{"inline":"4","height":1,"width":1}},{"type":"Range","token":"C5","preview":{"inline":"4,75","height":1,"width":1}},{"type":"Range","token":"D5","preview":{"inline":"6","height":1,"width":1}},{"type":"Range","token":"E5","preview":{"inline":"5,25","height":1,"width":1}},{"type":"Range","token":"F5","preview":{"inline":"7","height":1,"width":1}}],"steps":[{"expr":"(0,1*B5+0,1*C5+0,2*D5+0,6*E5)","value":"5,225","rawValue":5.225,"explain":null,"explainMeta":null},{"expr":"IF(F5 &gt;= 6;0,3;0)","value":"0,3","rawValue":0.3,"explain":"IF: condition `TRUE` is TRUE, so it returned `0,3`."},{"expr":"MIN(6;5,225 +0,3)","value":"5,525","rawValue":5.5249999999999995,"explain":null,"explainMeta":null},{"expr":"MAX(1;5,5249999999999995)","value":"5,525","rawValue":5.52499999999999,"explain":null,"explainMeta":null},{"expr":"ROUND(2*5,52499999999999;0)","value":"11","rawValue":11,"explain":null,"explainMeta":null},{"expr":"11/2","value":"5,5","rawValue":5.5}],"final":{"displayValue":"5,5","value":5.5}}</t>
  </si>
  <si>
    <t>G6</t>
  </si>
  <si>
    <t>9343642aa703300c1aa3d52a72e9ab73</t>
  </si>
  <si>
    <t>{"substitutedFormula":"=ROUND(2*MAX(1; MIN(6;(0,1*6+0,1*6+0,2*6+0,6*6) + IF(10 &gt;= 6;0,25;0)));0)/2","referenceDetails":[{"type":"Range","token":"B6","preview":{"inline":"6","height":1,"width":1}},{"type":"Range","token":"C6","preview":{"inline":"6","height":1,"width":1}},{"type":"Range","token":"D6","preview":{"inline":"6","height":1,"width":1}},{"type":"Range","token":"E6","preview":{"inline":"6","height":1,"width":1}},{"type":"Range","token":"F6","preview":{"inline":"10","height":1,"width":1}}],"steps":[{"expr":"(0,1*B6+0,1*C6+0,2*D6+0,6*E6)","value":"6","rawValue":6,"explain":null,"explainMeta":null},{"expr":"IF(F6 &gt;= 6;0,25;0)","value":"0,25","rawValue":0.25,"explain":"IF: condition `TRUE` is TRUE, so it returned `0,25`."},{"expr":"MIN(6;6 +0,25)","value":"6","rawValue":6,"explain":null,"explainMeta":null},{"expr":"MAX(1;6)","value":"6","rawValue":6,"explain":null,"explainMeta":null},{"expr":"ROUND(2*6;0)","value":"12","rawValue":12,"explain":null,"explainMeta":null},{"expr":"12/2","value":"6","rawValue":6}],"final":{"displayValue":"6","value":6}}</t>
  </si>
  <si>
    <t>ID</t>
  </si>
  <si>
    <t>StepSig</t>
  </si>
  <si>
    <t>StepExpr</t>
  </si>
  <si>
    <t>AuthorEmail</t>
  </si>
  <si>
    <t>Comment</t>
  </si>
  <si>
    <t>CreatedAt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</si>
</sst>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/d/yyyy h:mm:ss"/>
  </numFmts>
  <fonts count="4">
    <font>
      <sz val="10.0"/>
      <color rgb="FF000000"/>
      <name val="Arial"/>
      <scheme val="minor"/>
    </font>
    <font>
      <color rgb="FF0000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horizontal="right"/>
    </xf>
    <xf borderId="1" fillId="3" fontId="3" numFmtId="0" xfId="0" applyBorder="1" applyFill="1" applyFont="1"/>
    <xf borderId="1" fillId="3" fontId="3" numFmtId="164" xfId="0" applyBorder="1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>
      <c r="A5" s="3" t="s">
        <v>8</v>
      </c>
      <c r="B5" s="4">
        <v>4.0</v>
      </c>
      <c r="C5" s="4">
        <v>4.75</v>
      </c>
      <c r="D5" s="4">
        <v>6.0</v>
      </c>
      <c r="E5" s="4">
        <v>5.25</v>
      </c>
      <c r="F5" s="4">
        <v>7.0</v>
      </c>
      <c r="G5" s="5">
        <f>ROUND(2*MAX(1, MIN(6,(0.1*B5+0.1*C5+0.2*D5+0.6*E5) + IF(F5 &gt;= 6,0.3,0))),0)/2</f>
        <v>5.5</v>
      </c>
    </row>
    <row r="6">
      <c r="A6" s="3" t="s">
        <v>9</v>
      </c>
      <c r="B6" s="4">
        <v>6.0</v>
      </c>
      <c r="C6" s="4">
        <v>6.0</v>
      </c>
      <c r="D6" s="4">
        <v>6.0</v>
      </c>
      <c r="E6" s="4">
        <v>6.0</v>
      </c>
      <c r="F6" s="4">
        <v>10.0</v>
      </c>
      <c r="G6" s="5">
        <f t="shared" ref="G6:G7" si="1">ROUND(2*MAX(1, MIN(6,(0.1*B6+0.1*C6+0.2*D6+0.6*E6) + IF(F6 &gt;= 6,0.25,0))),0)/2</f>
        <v>6</v>
      </c>
    </row>
    <row r="7">
      <c r="A7" s="3" t="s">
        <v>10</v>
      </c>
      <c r="B7" s="4">
        <v>4.25</v>
      </c>
      <c r="C7" s="4">
        <v>4.0</v>
      </c>
      <c r="D7" s="4">
        <v>4.75</v>
      </c>
      <c r="E7" s="4">
        <v>4.5</v>
      </c>
      <c r="F7" s="4">
        <v>5.0</v>
      </c>
      <c r="G7" s="5">
        <f t="shared" si="1"/>
        <v>4.5</v>
      </c>
    </row>
    <row r="8">
      <c r="A8" s="2" t="s">
        <v>11</v>
      </c>
      <c r="B8" s="6">
        <f>AVERAGE(B5:B6)</f>
        <v>5</v>
      </c>
      <c r="C8" s="6">
        <f t="shared" ref="C8:G8" si="2">AVERAGE(C5:C7)</f>
        <v>4.916666667</v>
      </c>
      <c r="D8" s="6">
        <f t="shared" si="2"/>
        <v>5.583333333</v>
      </c>
      <c r="E8" s="6">
        <f t="shared" si="2"/>
        <v>5.25</v>
      </c>
      <c r="F8" s="6">
        <f t="shared" si="2"/>
        <v>7.333333333</v>
      </c>
      <c r="G8" s="7">
        <f t="shared" si="2"/>
        <v>5.333333333</v>
      </c>
    </row>
    <row r="13">
      <c r="I13" s="8">
        <f>20 + 20</f>
        <v>40</v>
      </c>
    </row>
  </sheetData>
  <mergeCells count="1">
    <mergeCell ref="A1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</row>
    <row r="2">
      <c r="A2" s="8" t="s">
        <v>19</v>
      </c>
      <c r="B2" s="8" t="s">
        <v>20</v>
      </c>
      <c r="C2" s="8" t="s">
        <v>21</v>
      </c>
      <c r="D2" s="8" t="s">
        <v>22</v>
      </c>
      <c r="E2" s="10">
        <v>1.0</v>
      </c>
      <c r="F2" s="8" t="s">
        <v>23</v>
      </c>
      <c r="G2" s="11">
        <v>45950.57486003472</v>
      </c>
    </row>
    <row r="3">
      <c r="A3" s="8" t="s">
        <v>19</v>
      </c>
      <c r="B3" s="8" t="s">
        <v>24</v>
      </c>
      <c r="C3" s="8" t="s">
        <v>25</v>
      </c>
      <c r="D3" s="8" t="s">
        <v>22</v>
      </c>
      <c r="E3" s="10">
        <v>1.0</v>
      </c>
      <c r="F3" s="8" t="s">
        <v>26</v>
      </c>
      <c r="G3" s="11">
        <v>45989.40417164352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27</v>
      </c>
      <c r="B1" s="9" t="s">
        <v>12</v>
      </c>
      <c r="C1" s="9" t="s">
        <v>13</v>
      </c>
      <c r="D1" s="9" t="s">
        <v>14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18</v>
      </c>
    </row>
  </sheetData>
  <drawing r:id="rId1"/>
</worksheet>
</file>