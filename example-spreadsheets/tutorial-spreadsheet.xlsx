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grades-mathematics" sheetId="2" state="visible" r:id="rId4"/>
    <sheet name="grades-physic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<sst xmlns="http://schemas.openxmlformats.org/spreadsheetml/2006/main" count="102" uniqueCount="26">
  <si>
    <t xml:space="preserve">Student</t>
  </si>
  <si>
    <t xml:space="preserve">Mathematics</t>
  </si>
  <si>
    <t xml:space="preserve">Physics</t>
  </si>
  <si>
    <t xml:space="preserve">Alice</t>
  </si>
  <si>
    <t xml:space="preserve">Bob</t>
  </si>
  <si>
    <t xml:space="preserve">Charlie</t>
  </si>
  <si>
    <t xml:space="preserve">Carol</t>
  </si>
  <si>
    <t xml:space="preserve">Dan</t>
  </si>
  <si>
    <t xml:space="preserve">Rolf</t>
  </si>
  <si>
    <t xml:space="preserve">Eve</t>
  </si>
  <si>
    <t xml:space="preserve">Oscar</t>
  </si>
  <si>
    <t xml:space="preserve">Zoe</t>
  </si>
  <si>
    <t xml:space="preserve">Mallory</t>
  </si>
  <si>
    <t xml:space="preserve">Grace</t>
  </si>
  <si>
    <t xml:space="preserve">Midterm</t>
  </si>
  <si>
    <t xml:space="preserve">Endterm</t>
  </si>
  <si>
    <t xml:space="preserve">Project</t>
  </si>
  <si>
    <t xml:space="preserve">Final Exam</t>
  </si>
  <si>
    <t xml:space="preserve">solved HW’s</t>
  </si>
  <si>
    <t xml:space="preserve">Bonus</t>
  </si>
  <si>
    <t xml:space="preserve">Weighted Average</t>
  </si>
  <si>
    <t xml:space="preserve">Grade</t>
  </si>
  <si>
    <t xml:space="preserve">Rounded</t>
  </si>
  <si>
    <t xml:space="preserve">Average</t>
  </si>
  <si>
    <t xml:space="preserve">Exam</t>
  </si>
  <si>
    <t xml:space="preserve">Homeworks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</si>
</sst>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i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2023</v>
      </c>
    </row>
    <row r="2" customFormat="false" ht="12.8" hidden="false" customHeight="false" outlineLevel="0" collapsed="false">
      <c r="A2" s="1" t="s">
        <v>0</v>
      </c>
      <c r="B2" s="2" t="s">
        <v>1</v>
      </c>
      <c r="C2" s="2" t="s">
        <v>2</v>
      </c>
    </row>
    <row r="3" customFormat="false" ht="12.8" hidden="false" customHeight="false" outlineLevel="0" collapsed="false">
      <c r="A3" s="1" t="s">
        <v>3</v>
      </c>
      <c r="B3" s="3" t="n">
        <f aca="false">'grades-mathematics'!J3</f>
        <v>4</v>
      </c>
      <c r="C3" s="3" t="n">
        <f aca="false">'grades-physics'!D5</f>
        <v>5</v>
      </c>
    </row>
    <row r="4" customFormat="false" ht="12.8" hidden="false" customHeight="false" outlineLevel="0" collapsed="false">
      <c r="A4" s="1" t="s">
        <v>4</v>
      </c>
      <c r="B4" s="3" t="n">
        <f aca="false">'grades-mathematics'!J4</f>
        <v>4.5</v>
      </c>
      <c r="C4" s="3" t="n">
        <f aca="false">'grades-physics'!D4</f>
        <v>4.375</v>
      </c>
    </row>
    <row r="5" customFormat="false" ht="12.8" hidden="false" customHeight="false" outlineLevel="0" collapsed="false">
      <c r="A5" s="1" t="s">
        <v>5</v>
      </c>
      <c r="B5" s="3" t="n">
        <f aca="false">'grades-mathematics'!J5</f>
        <v>5</v>
      </c>
      <c r="C5" s="3" t="n">
        <f aca="false">'grades-physics'!D3</f>
        <v>5.25</v>
      </c>
    </row>
    <row r="7" customFormat="false" ht="12.8" hidden="false" customHeight="false" outlineLevel="0" collapsed="false">
      <c r="A7" s="0" t="n">
        <v>2024</v>
      </c>
    </row>
    <row r="8" customFormat="false" ht="12.8" hidden="false" customHeight="false" outlineLevel="0" collapsed="false">
      <c r="A8" s="1" t="s">
        <v>0</v>
      </c>
      <c r="B8" s="2" t="s">
        <v>1</v>
      </c>
      <c r="C8" s="2" t="s">
        <v>2</v>
      </c>
    </row>
    <row r="9" customFormat="false" ht="12.8" hidden="false" customHeight="false" outlineLevel="0" collapsed="false">
      <c r="A9" s="1" t="s">
        <v>3</v>
      </c>
      <c r="B9" s="3" t="n">
        <f aca="false">'grades-mathematics'!J10</f>
        <v>5.5</v>
      </c>
      <c r="C9" s="3" t="n">
        <f aca="false">'grades-physics'!I3</f>
        <v>5.25</v>
      </c>
    </row>
    <row r="10" customFormat="false" ht="12.8" hidden="false" customHeight="false" outlineLevel="0" collapsed="false">
      <c r="A10" s="1" t="s">
        <v>6</v>
      </c>
      <c r="B10" s="3" t="n">
        <f aca="false">'grades-mathematics'!J11</f>
        <v>5</v>
      </c>
      <c r="C10" s="3" t="n">
        <f aca="false">'grades-physics'!I4</f>
        <v>5</v>
      </c>
    </row>
    <row r="11" customFormat="false" ht="12.8" hidden="false" customHeight="false" outlineLevel="0" collapsed="false">
      <c r="A11" s="1" t="s">
        <v>7</v>
      </c>
      <c r="B11" s="3" t="n">
        <f aca="false">'grades-mathematics'!J12</f>
        <v>5</v>
      </c>
      <c r="C11" s="3" t="n">
        <f aca="false">'grades-physics'!I5</f>
        <v>4.675</v>
      </c>
    </row>
    <row r="12" customFormat="false" ht="12.8" hidden="false" customHeight="false" outlineLevel="0" collapsed="false">
      <c r="A12" s="1" t="s">
        <v>8</v>
      </c>
      <c r="B12" s="3" t="n">
        <f aca="false">'grades-mathematics'!J13</f>
        <v>4.5</v>
      </c>
      <c r="C12" s="3" t="n">
        <f aca="false">'grades-physics'!I6</f>
        <v>5.375</v>
      </c>
    </row>
    <row r="13" customFormat="false" ht="12.8" hidden="false" customHeight="false" outlineLevel="0" collapsed="false">
      <c r="A13" s="1" t="s">
        <v>5</v>
      </c>
      <c r="B13" s="3" t="n">
        <f aca="false">'grades-mathematics'!J14</f>
        <v>5</v>
      </c>
      <c r="C13" s="3" t="n">
        <f aca="false">'grades-physics'!I7</f>
        <v>5.2</v>
      </c>
    </row>
    <row r="14" customFormat="false" ht="12.8" hidden="false" customHeight="false" outlineLevel="0" collapsed="false">
      <c r="A14" s="1"/>
    </row>
    <row r="15" customFormat="false" ht="12.8" hidden="false" customHeight="false" outlineLevel="0" collapsed="false">
      <c r="A15" s="4" t="n">
        <v>2025</v>
      </c>
    </row>
    <row r="16" customFormat="false" ht="12.8" hidden="false" customHeight="false" outlineLevel="0" collapsed="false">
      <c r="A16" s="1" t="s">
        <v>0</v>
      </c>
      <c r="B16" s="2" t="s">
        <v>1</v>
      </c>
      <c r="C16" s="2" t="s">
        <v>2</v>
      </c>
    </row>
    <row r="17" customFormat="false" ht="12.8" hidden="false" customHeight="false" outlineLevel="0" collapsed="false">
      <c r="A17" s="1" t="s">
        <v>9</v>
      </c>
      <c r="B17" s="3" t="n">
        <f aca="false">'grades-mathematics'!J19</f>
        <v>5.5</v>
      </c>
      <c r="C17" s="3" t="n">
        <f aca="false">'grades-physics'!N3</f>
        <v>4.625</v>
      </c>
    </row>
    <row r="18" customFormat="false" ht="12.8" hidden="false" customHeight="false" outlineLevel="0" collapsed="false">
      <c r="A18" s="1" t="s">
        <v>10</v>
      </c>
      <c r="B18" s="3" t="n">
        <f aca="false">'grades-mathematics'!J20</f>
        <v>5.5</v>
      </c>
      <c r="C18" s="3" t="n">
        <f aca="false">'grades-physics'!N4</f>
        <v>5.2</v>
      </c>
    </row>
    <row r="19" customFormat="false" ht="12.8" hidden="false" customHeight="false" outlineLevel="0" collapsed="false">
      <c r="A19" s="1" t="s">
        <v>11</v>
      </c>
      <c r="B19" s="3" t="n">
        <f aca="false">'grades-mathematics'!J21</f>
        <v>4.5</v>
      </c>
      <c r="C19" s="3" t="n">
        <f aca="false">'grades-physics'!N5</f>
        <v>4.85</v>
      </c>
    </row>
    <row r="20" customFormat="false" ht="12.8" hidden="false" customHeight="false" outlineLevel="0" collapsed="false">
      <c r="A20" s="1" t="s">
        <v>12</v>
      </c>
      <c r="B20" s="3" t="n">
        <f aca="false">'grades-mathematics'!J22</f>
        <v>4</v>
      </c>
      <c r="C20" s="3" t="n">
        <f aca="false">'grades-physics'!N6</f>
        <v>4.75</v>
      </c>
    </row>
    <row r="21" customFormat="false" ht="12.8" hidden="false" customHeight="false" outlineLevel="0" collapsed="false">
      <c r="A21" s="1" t="s">
        <v>13</v>
      </c>
      <c r="B21" s="3" t="n">
        <f aca="false">'grades-mathematics'!J23</f>
        <v>5</v>
      </c>
      <c r="C21" s="3" t="n">
        <f aca="false">'grades-physics'!N7</f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9" activeCellId="0" sqref="F39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1</v>
      </c>
      <c r="B1" s="2" t="n">
        <v>2023</v>
      </c>
    </row>
    <row r="2" customFormat="false" ht="12.8" hidden="false" customHeight="false" outlineLevel="0" collapsed="false">
      <c r="A2" s="1" t="s">
        <v>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</row>
    <row r="3" customFormat="false" ht="12.8" hidden="false" customHeight="false" outlineLevel="0" collapsed="false">
      <c r="A3" s="1" t="s">
        <v>3</v>
      </c>
      <c r="B3" s="3" t="n">
        <v>4</v>
      </c>
      <c r="C3" s="3" t="n">
        <v>3.5</v>
      </c>
      <c r="D3" s="3" t="n">
        <v>4</v>
      </c>
      <c r="E3" s="3" t="n">
        <v>3.75</v>
      </c>
      <c r="F3" s="3" t="n">
        <v>4</v>
      </c>
      <c r="G3" s="3" t="n">
        <f aca="false">IF(F3&gt;=5, 0.25, 0)</f>
        <v>0</v>
      </c>
      <c r="H3" s="3" t="n">
        <f aca="false">B3*0.2+C3*0.2+D3*0.1+E3*0.5</f>
        <v>3.775</v>
      </c>
      <c r="I3" s="3" t="n">
        <f aca="false">MAX(1, MIN(6, H3 + G3))</f>
        <v>3.775</v>
      </c>
      <c r="J3" s="3" t="n">
        <f aca="false">ROUND(2*I3,0)/2</f>
        <v>4</v>
      </c>
    </row>
    <row r="4" customFormat="false" ht="12.8" hidden="false" customHeight="false" outlineLevel="0" collapsed="false">
      <c r="A4" s="1" t="s">
        <v>4</v>
      </c>
      <c r="B4" s="3" t="n">
        <v>5.25</v>
      </c>
      <c r="C4" s="3" t="n">
        <v>4.75</v>
      </c>
      <c r="D4" s="3" t="n">
        <v>5.5</v>
      </c>
      <c r="E4" s="3" t="n">
        <v>4</v>
      </c>
      <c r="F4" s="3" t="n">
        <v>4</v>
      </c>
      <c r="G4" s="3" t="n">
        <f aca="false">IF(F4&gt;=5, 0.25, 0)</f>
        <v>0</v>
      </c>
      <c r="H4" s="3" t="n">
        <f aca="false">B4*0.2+C4*0.2+D4*0.1+E4*0.5</f>
        <v>4.55</v>
      </c>
      <c r="I4" s="3" t="n">
        <f aca="false">MAX(1, MIN(6, H4 + G4))</f>
        <v>4.55</v>
      </c>
      <c r="J4" s="3" t="n">
        <f aca="false">ROUND(2*I4,0)/2</f>
        <v>4.5</v>
      </c>
    </row>
    <row r="5" customFormat="false" ht="12.8" hidden="false" customHeight="false" outlineLevel="0" collapsed="false">
      <c r="A5" s="1" t="s">
        <v>5</v>
      </c>
      <c r="B5" s="3" t="n">
        <v>4.25</v>
      </c>
      <c r="C5" s="3" t="n">
        <v>5</v>
      </c>
      <c r="D5" s="3" t="n">
        <v>6</v>
      </c>
      <c r="E5" s="3" t="n">
        <v>4.25</v>
      </c>
      <c r="F5" s="3" t="n">
        <v>5</v>
      </c>
      <c r="G5" s="3" t="n">
        <f aca="false">IF(F5&gt;=5, 0.25, 0)</f>
        <v>0.25</v>
      </c>
      <c r="H5" s="3" t="n">
        <f aca="false">B5*0.2+C5*0.2+D5*0.1+E5*0.5</f>
        <v>4.575</v>
      </c>
      <c r="I5" s="3" t="n">
        <f aca="false">MAX(1, MIN(6, H5 + G5))</f>
        <v>4.825</v>
      </c>
      <c r="J5" s="3" t="n">
        <f aca="false">ROUND(2*I5,0)/2</f>
        <v>5</v>
      </c>
    </row>
    <row r="6" customFormat="false" ht="12.8" hidden="false" customHeight="false" outlineLevel="0" collapsed="false">
      <c r="A6" s="1" t="s">
        <v>23</v>
      </c>
      <c r="B6" s="3" t="n">
        <f aca="false">AVERAGE(B3:B5)</f>
        <v>4.5</v>
      </c>
      <c r="C6" s="3" t="n">
        <f aca="false">AVERAGE(C3:C5)</f>
        <v>4.41666666666667</v>
      </c>
      <c r="D6" s="3" t="n">
        <f aca="false">AVERAGE(D3:D5)</f>
        <v>5.16666666666667</v>
      </c>
      <c r="E6" s="3" t="n">
        <f aca="false">AVERAGE(E3:E5)</f>
        <v>4</v>
      </c>
      <c r="F6" s="3" t="n">
        <f aca="false">AVERAGE(F3:F5)</f>
        <v>4.33333333333333</v>
      </c>
      <c r="G6" s="3" t="n">
        <f aca="false">IF(F6&gt;=5, 0.25, 0)</f>
        <v>0</v>
      </c>
      <c r="H6" s="3" t="n">
        <f aca="false">B6*0.2+C6*0.2+D6*0.1+E6*0.5</f>
        <v>4.3</v>
      </c>
      <c r="I6" s="3" t="n">
        <f aca="false">MAX(1, MIN(6, H6 + G6))</f>
        <v>4.3</v>
      </c>
      <c r="J6" s="3" t="n">
        <f aca="false">ROUND(2*I6,0)/2</f>
        <v>4.5</v>
      </c>
    </row>
    <row r="8" customFormat="false" ht="12.8" hidden="false" customHeight="false" outlineLevel="0" collapsed="false">
      <c r="A8" s="1" t="s">
        <v>1</v>
      </c>
      <c r="B8" s="2" t="n">
        <v>2024</v>
      </c>
    </row>
    <row r="9" customFormat="false" ht="12.8" hidden="false" customHeight="false" outlineLevel="0" collapsed="false">
      <c r="A9" s="1" t="s">
        <v>0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  <c r="H9" s="1" t="s">
        <v>20</v>
      </c>
      <c r="I9" s="1" t="s">
        <v>21</v>
      </c>
      <c r="J9" s="1" t="s">
        <v>22</v>
      </c>
    </row>
    <row r="10" customFormat="false" ht="12.8" hidden="false" customHeight="false" outlineLevel="0" collapsed="false">
      <c r="A10" s="1" t="s">
        <v>3</v>
      </c>
      <c r="B10" s="3" t="n">
        <v>6</v>
      </c>
      <c r="C10" s="3" t="n">
        <v>5.25</v>
      </c>
      <c r="D10" s="3" t="n">
        <v>6</v>
      </c>
      <c r="E10" s="3" t="n">
        <v>4.5</v>
      </c>
      <c r="F10" s="3" t="n">
        <v>5</v>
      </c>
      <c r="G10" s="3" t="n">
        <f aca="false">IF(F10&gt;=5, 0.25, 0)</f>
        <v>0.25</v>
      </c>
      <c r="H10" s="3" t="n">
        <f aca="false">B10*0.2+C10*0.2+D10*0.1+E10*0.5</f>
        <v>5.1</v>
      </c>
      <c r="I10" s="3" t="n">
        <f aca="false">MAX(1, MIN(6, H10 + G10))</f>
        <v>5.35</v>
      </c>
      <c r="J10" s="3" t="n">
        <f aca="false">ROUND(2*I10,0)/2</f>
        <v>5.5</v>
      </c>
    </row>
    <row r="11" customFormat="false" ht="12.8" hidden="false" customHeight="false" outlineLevel="0" collapsed="false">
      <c r="A11" s="1" t="s">
        <v>6</v>
      </c>
      <c r="B11" s="3" t="n">
        <v>5.3</v>
      </c>
      <c r="C11" s="3" t="n">
        <v>4.2</v>
      </c>
      <c r="D11" s="3" t="n">
        <v>5</v>
      </c>
      <c r="E11" s="3" t="n">
        <v>5</v>
      </c>
      <c r="F11" s="3" t="n">
        <v>4</v>
      </c>
      <c r="G11" s="3" t="n">
        <f aca="false">IF(F11&gt;=5, 0.25, 0)</f>
        <v>0</v>
      </c>
      <c r="H11" s="3" t="n">
        <f aca="false">B11*0.2+C11*0.2+D11*0.1+E11*0.5</f>
        <v>4.9</v>
      </c>
      <c r="I11" s="3" t="n">
        <f aca="false">MAX(1, MIN(6, H11 + G11))</f>
        <v>4.9</v>
      </c>
      <c r="J11" s="3" t="n">
        <f aca="false">ROUND(2*I11,0)/2</f>
        <v>5</v>
      </c>
    </row>
    <row r="12" customFormat="false" ht="12.8" hidden="false" customHeight="false" outlineLevel="0" collapsed="false">
      <c r="A12" s="1" t="s">
        <v>7</v>
      </c>
      <c r="B12" s="3" t="n">
        <v>3</v>
      </c>
      <c r="C12" s="3" t="n">
        <v>5.5</v>
      </c>
      <c r="D12" s="3" t="n">
        <v>6</v>
      </c>
      <c r="E12" s="3" t="n">
        <v>4.75</v>
      </c>
      <c r="F12" s="3" t="n">
        <v>5</v>
      </c>
      <c r="G12" s="3" t="n">
        <f aca="false">IF(F12&gt;=5, 0.25, 0)</f>
        <v>0.25</v>
      </c>
      <c r="H12" s="3" t="n">
        <f aca="false">B12*0.2+C12*0.2+D12*0.1+E12*0.5</f>
        <v>4.675</v>
      </c>
      <c r="I12" s="3" t="n">
        <f aca="false">MAX(1, MIN(6, H12 + G12))</f>
        <v>4.925</v>
      </c>
      <c r="J12" s="3" t="n">
        <f aca="false">ROUND(2*I12,0)/2</f>
        <v>5</v>
      </c>
    </row>
    <row r="13" customFormat="false" ht="12.8" hidden="false" customHeight="false" outlineLevel="0" collapsed="false">
      <c r="A13" s="1" t="s">
        <v>8</v>
      </c>
      <c r="B13" s="3" t="n">
        <v>4.25</v>
      </c>
      <c r="C13" s="3" t="n">
        <v>4</v>
      </c>
      <c r="D13" s="3" t="n">
        <v>6</v>
      </c>
      <c r="E13" s="3" t="n">
        <v>4</v>
      </c>
      <c r="F13" s="3" t="n">
        <v>5</v>
      </c>
      <c r="G13" s="3" t="n">
        <f aca="false">IF(F13&gt;=5, 0.25, 0)</f>
        <v>0.25</v>
      </c>
      <c r="H13" s="3" t="n">
        <f aca="false">B13*0.2+C13*0.2+D13*0.1+E13*0.5</f>
        <v>4.25</v>
      </c>
      <c r="I13" s="3" t="n">
        <f aca="false">MAX(1, MIN(6, H13 + G13))</f>
        <v>4.5</v>
      </c>
      <c r="J13" s="3" t="n">
        <f aca="false">ROUND(2*I13,0)/2</f>
        <v>4.5</v>
      </c>
    </row>
    <row r="14" customFormat="false" ht="12.8" hidden="false" customHeight="false" outlineLevel="0" collapsed="false">
      <c r="A14" s="1" t="s">
        <v>5</v>
      </c>
      <c r="B14" s="3" t="n">
        <v>4.25</v>
      </c>
      <c r="C14" s="3" t="n">
        <v>5</v>
      </c>
      <c r="D14" s="3" t="n">
        <v>6</v>
      </c>
      <c r="E14" s="3" t="n">
        <v>4.25</v>
      </c>
      <c r="F14" s="3" t="n">
        <v>5</v>
      </c>
      <c r="G14" s="3" t="n">
        <f aca="false">IF(F14&gt;=5, 0.25, 0)</f>
        <v>0.25</v>
      </c>
      <c r="H14" s="3" t="n">
        <f aca="false">B14*0.2+C14*0.2+D14*0.1+E14*0.5</f>
        <v>4.575</v>
      </c>
      <c r="I14" s="3" t="n">
        <f aca="false">MAX(1, MIN(6, H14 + G14))</f>
        <v>4.825</v>
      </c>
      <c r="J14" s="3" t="n">
        <f aca="false">ROUND(2*I14,0)/2</f>
        <v>5</v>
      </c>
    </row>
    <row r="15" customFormat="false" ht="12.8" hidden="false" customHeight="false" outlineLevel="0" collapsed="false">
      <c r="A15" s="1" t="s">
        <v>23</v>
      </c>
      <c r="B15" s="3" t="n">
        <f aca="false">AVERAGE(B10:B14)</f>
        <v>4.56</v>
      </c>
      <c r="C15" s="3" t="n">
        <f aca="false">AVERAGE(C10:C14)</f>
        <v>4.79</v>
      </c>
      <c r="D15" s="3" t="n">
        <f aca="false">AVERAGE(D10:D14)</f>
        <v>5.8</v>
      </c>
      <c r="E15" s="3" t="n">
        <f aca="false">AVERAGE(E10:E14)</f>
        <v>4.5</v>
      </c>
      <c r="F15" s="3" t="n">
        <f aca="false">AVERAGE(F10:F14)</f>
        <v>4.8</v>
      </c>
      <c r="G15" s="3" t="n">
        <f aca="false">IF(F15&gt;=5, 0.25, 0)</f>
        <v>0</v>
      </c>
      <c r="H15" s="3" t="n">
        <f aca="false">B15*0.2+C15*0.2+D15*0.1+E15*0.5</f>
        <v>4.7</v>
      </c>
      <c r="I15" s="3" t="n">
        <f aca="false">MAX(1, MIN(6, H15 + G15))</f>
        <v>4.7</v>
      </c>
      <c r="J15" s="3" t="n">
        <f aca="false">ROUND(2*I15,0)/2</f>
        <v>4.5</v>
      </c>
    </row>
    <row r="16" customFormat="false" ht="12.8" hidden="false" customHeight="false" outlineLevel="0" collapsed="false">
      <c r="A16" s="1"/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2.8" hidden="false" customHeight="false" outlineLevel="0" collapsed="false">
      <c r="A17" s="1" t="s">
        <v>1</v>
      </c>
      <c r="B17" s="2" t="n">
        <v>2026</v>
      </c>
    </row>
    <row r="18" customFormat="false" ht="12.8" hidden="false" customHeight="false" outlineLevel="0" collapsed="false">
      <c r="A18" s="1" t="s">
        <v>0</v>
      </c>
      <c r="B18" s="1" t="s">
        <v>14</v>
      </c>
      <c r="C18" s="1" t="s">
        <v>15</v>
      </c>
      <c r="D18" s="1" t="s">
        <v>16</v>
      </c>
      <c r="E18" s="1" t="s">
        <v>17</v>
      </c>
      <c r="F18" s="1" t="s">
        <v>18</v>
      </c>
      <c r="G18" s="1" t="s">
        <v>19</v>
      </c>
      <c r="H18" s="1" t="s">
        <v>20</v>
      </c>
      <c r="I18" s="1" t="s">
        <v>21</v>
      </c>
      <c r="J18" s="1" t="s">
        <v>22</v>
      </c>
    </row>
    <row r="19" customFormat="false" ht="12.8" hidden="false" customHeight="false" outlineLevel="0" collapsed="false">
      <c r="A19" s="1" t="s">
        <v>9</v>
      </c>
      <c r="B19" s="3" t="n">
        <v>6</v>
      </c>
      <c r="C19" s="3" t="n">
        <v>5.25</v>
      </c>
      <c r="D19" s="3" t="n">
        <v>6</v>
      </c>
      <c r="E19" s="3" t="n">
        <v>4.5</v>
      </c>
      <c r="F19" s="3" t="n">
        <v>5</v>
      </c>
      <c r="G19" s="3" t="n">
        <f aca="false">IF(F19&gt;=5, 0.25, 0)</f>
        <v>0.25</v>
      </c>
      <c r="H19" s="3" t="n">
        <f aca="false">B19*0.2+C19*0.2+D19*0.1+E19*0.5</f>
        <v>5.1</v>
      </c>
      <c r="I19" s="3" t="n">
        <f aca="false">MAX(1, MIN(6, H19 + G19))</f>
        <v>5.35</v>
      </c>
      <c r="J19" s="3" t="n">
        <f aca="false">ROUND(2*I19,0)/2</f>
        <v>5.5</v>
      </c>
    </row>
    <row r="20" customFormat="false" ht="12.8" hidden="false" customHeight="false" outlineLevel="0" collapsed="false">
      <c r="A20" s="1" t="s">
        <v>10</v>
      </c>
      <c r="B20" s="3" t="n">
        <v>5.5</v>
      </c>
      <c r="C20" s="3" t="n">
        <v>5</v>
      </c>
      <c r="D20" s="3" t="n">
        <v>5</v>
      </c>
      <c r="E20" s="3" t="n">
        <v>5.5</v>
      </c>
      <c r="F20" s="3" t="n">
        <v>5</v>
      </c>
      <c r="G20" s="3" t="n">
        <f aca="false">IF(F20&gt;=5, 0.25, 0)</f>
        <v>0.25</v>
      </c>
      <c r="H20" s="3" t="n">
        <f aca="false">B20*0.2+C20*0.2+D20*0.1+E20*0.5</f>
        <v>5.35</v>
      </c>
      <c r="I20" s="3" t="n">
        <f aca="false">MAX(1, MIN(6, H20 + G20))</f>
        <v>5.6</v>
      </c>
      <c r="J20" s="3" t="n">
        <f aca="false">ROUND(2*I20,0)/2</f>
        <v>5.5</v>
      </c>
    </row>
    <row r="21" customFormat="false" ht="12.8" hidden="false" customHeight="false" outlineLevel="0" collapsed="false">
      <c r="A21" s="1" t="s">
        <v>11</v>
      </c>
      <c r="B21" s="3" t="n">
        <v>4</v>
      </c>
      <c r="C21" s="3" t="n">
        <v>4.75</v>
      </c>
      <c r="D21" s="3" t="n">
        <v>5.5</v>
      </c>
      <c r="E21" s="3" t="n">
        <v>4</v>
      </c>
      <c r="F21" s="3" t="n">
        <v>4</v>
      </c>
      <c r="G21" s="3" t="n">
        <f aca="false">IF(F21&gt;=5, 0.25, 0)</f>
        <v>0</v>
      </c>
      <c r="H21" s="3" t="n">
        <f aca="false">B21*0.2+C21*0.2+D21*0.1+E21*0.5</f>
        <v>4.3</v>
      </c>
      <c r="I21" s="3" t="n">
        <f aca="false">MAX(1, MIN(6, H21 + G21))</f>
        <v>4.3</v>
      </c>
      <c r="J21" s="3" t="n">
        <f aca="false">ROUND(2*I21,0)/2</f>
        <v>4.5</v>
      </c>
    </row>
    <row r="22" customFormat="false" ht="12.8" hidden="false" customHeight="false" outlineLevel="0" collapsed="false">
      <c r="A22" s="1" t="s">
        <v>12</v>
      </c>
      <c r="B22" s="3" t="n">
        <v>5.5</v>
      </c>
      <c r="C22" s="3" t="n">
        <v>4.5</v>
      </c>
      <c r="D22" s="3" t="n">
        <v>5</v>
      </c>
      <c r="E22" s="3" t="n">
        <v>3</v>
      </c>
      <c r="F22" s="3" t="n">
        <v>2</v>
      </c>
      <c r="G22" s="3" t="n">
        <f aca="false">IF(F22&gt;=5, 0.25, 0)</f>
        <v>0</v>
      </c>
      <c r="H22" s="3" t="n">
        <f aca="false">B22*0.2+C22*0.2+D22*0.1+E22*0.5</f>
        <v>4</v>
      </c>
      <c r="I22" s="3" t="n">
        <f aca="false">MAX(1, MIN(6, H22 + G22))</f>
        <v>4</v>
      </c>
      <c r="J22" s="3" t="n">
        <f aca="false">ROUND(2*I22,0)/2</f>
        <v>4</v>
      </c>
    </row>
    <row r="23" customFormat="false" ht="12.8" hidden="false" customHeight="false" outlineLevel="0" collapsed="false">
      <c r="A23" s="1" t="s">
        <v>13</v>
      </c>
      <c r="B23" s="3" t="n">
        <v>4.25</v>
      </c>
      <c r="C23" s="3" t="n">
        <v>5</v>
      </c>
      <c r="D23" s="3" t="n">
        <v>6</v>
      </c>
      <c r="E23" s="3" t="n">
        <v>4.25</v>
      </c>
      <c r="F23" s="3" t="n">
        <v>5</v>
      </c>
      <c r="G23" s="3" t="n">
        <f aca="false">IF(F23&gt;=5, 0.25, 0)</f>
        <v>0.25</v>
      </c>
      <c r="H23" s="3" t="n">
        <f aca="false">B23*0.2+C23*0.2+D23*0.1+E23*0.5</f>
        <v>4.575</v>
      </c>
      <c r="I23" s="3" t="n">
        <f aca="false">MAX(1, MIN(6, H23 + G23))</f>
        <v>4.825</v>
      </c>
      <c r="J23" s="3" t="n">
        <f aca="false">ROUND(2*I23,0)/2</f>
        <v>5</v>
      </c>
    </row>
    <row r="24" customFormat="false" ht="12.8" hidden="false" customHeight="false" outlineLevel="0" collapsed="false">
      <c r="A24" s="1" t="s">
        <v>23</v>
      </c>
      <c r="B24" s="3" t="n">
        <f aca="false">AVERAGE(B19:B23)</f>
        <v>5.05</v>
      </c>
      <c r="C24" s="3" t="n">
        <f aca="false">AVERAGE(C19:C23)</f>
        <v>4.9</v>
      </c>
      <c r="D24" s="3" t="n">
        <f aca="false">AVERAGE(D19:D23)</f>
        <v>5.5</v>
      </c>
      <c r="E24" s="3" t="n">
        <f aca="false">AVERAGE(E19:E23)</f>
        <v>4.25</v>
      </c>
      <c r="F24" s="3" t="n">
        <f aca="false">AVERAGE(F19:F23)</f>
        <v>4.2</v>
      </c>
      <c r="G24" s="3" t="n">
        <f aca="false">IF(F24&gt;=5, 0.25, 0)</f>
        <v>0</v>
      </c>
      <c r="H24" s="3" t="n">
        <f aca="false">B24*0.2+C24*0.2+D24*0.1+E24*0.5</f>
        <v>4.665</v>
      </c>
      <c r="I24" s="3" t="n">
        <f aca="false">MAX(1, MIN(6, H24 + G24))</f>
        <v>4.665</v>
      </c>
      <c r="J24" s="3" t="n">
        <f aca="false">ROUND(2*I24,0)/2</f>
        <v>4.5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9" activeCellId="0" sqref="K9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2</v>
      </c>
      <c r="B1" s="3" t="n">
        <v>2023</v>
      </c>
      <c r="F1" s="1" t="s">
        <v>2</v>
      </c>
      <c r="G1" s="3" t="n">
        <v>2024</v>
      </c>
      <c r="K1" s="1" t="s">
        <v>2</v>
      </c>
      <c r="L1" s="3" t="n">
        <v>2025</v>
      </c>
    </row>
    <row r="2" customFormat="false" ht="12.8" hidden="false" customHeight="false" outlineLevel="0" collapsed="false">
      <c r="A2" s="1" t="s">
        <v>0</v>
      </c>
      <c r="B2" s="1" t="s">
        <v>24</v>
      </c>
      <c r="C2" s="1" t="s">
        <v>25</v>
      </c>
      <c r="D2" s="1" t="s">
        <v>21</v>
      </c>
      <c r="F2" s="1" t="s">
        <v>0</v>
      </c>
      <c r="G2" s="1" t="s">
        <v>24</v>
      </c>
      <c r="H2" s="1" t="s">
        <v>25</v>
      </c>
      <c r="I2" s="1" t="s">
        <v>21</v>
      </c>
      <c r="K2" s="1" t="s">
        <v>0</v>
      </c>
      <c r="L2" s="1" t="s">
        <v>24</v>
      </c>
      <c r="M2" s="1" t="s">
        <v>25</v>
      </c>
      <c r="N2" s="1" t="s">
        <v>21</v>
      </c>
    </row>
    <row r="3" customFormat="false" ht="12.8" hidden="false" customHeight="false" outlineLevel="0" collapsed="false">
      <c r="A3" s="1" t="s">
        <v>5</v>
      </c>
      <c r="B3" s="3" t="n">
        <v>5</v>
      </c>
      <c r="C3" s="3" t="n">
        <v>5.5</v>
      </c>
      <c r="D3" s="3" t="n">
        <f aca="false">AVERAGE(B3:C3)</f>
        <v>5.25</v>
      </c>
      <c r="F3" s="1" t="s">
        <v>3</v>
      </c>
      <c r="G3" s="0" t="n">
        <v>4.5</v>
      </c>
      <c r="H3" s="0" t="n">
        <v>6</v>
      </c>
      <c r="I3" s="0" t="n">
        <f aca="false">AVERAGE(G3:H3)</f>
        <v>5.25</v>
      </c>
      <c r="K3" s="1" t="s">
        <v>9</v>
      </c>
      <c r="L3" s="0" t="n">
        <v>4.25</v>
      </c>
      <c r="M3" s="0" t="n">
        <v>5</v>
      </c>
      <c r="N3" s="0" t="n">
        <f aca="false">AVERAGE(L3:M3)</f>
        <v>4.625</v>
      </c>
    </row>
    <row r="4" customFormat="false" ht="12.8" hidden="false" customHeight="false" outlineLevel="0" collapsed="false">
      <c r="A4" s="1" t="s">
        <v>4</v>
      </c>
      <c r="B4" s="3" t="n">
        <v>4.25</v>
      </c>
      <c r="C4" s="3" t="n">
        <v>4.5</v>
      </c>
      <c r="D4" s="3" t="n">
        <f aca="false">AVERAGE(B4:C4)</f>
        <v>4.375</v>
      </c>
      <c r="F4" s="1" t="s">
        <v>6</v>
      </c>
      <c r="G4" s="0" t="n">
        <v>5</v>
      </c>
      <c r="H4" s="0" t="n">
        <v>5</v>
      </c>
      <c r="I4" s="0" t="n">
        <f aca="false">AVERAGE(G4:H4)</f>
        <v>5</v>
      </c>
      <c r="K4" s="1" t="s">
        <v>10</v>
      </c>
      <c r="L4" s="0" t="n">
        <v>4.4</v>
      </c>
      <c r="M4" s="0" t="n">
        <v>6</v>
      </c>
      <c r="N4" s="0" t="n">
        <f aca="false">AVERAGE(L4:M4)</f>
        <v>5.2</v>
      </c>
    </row>
    <row r="5" customFormat="false" ht="12.8" hidden="false" customHeight="false" outlineLevel="0" collapsed="false">
      <c r="A5" s="1" t="s">
        <v>3</v>
      </c>
      <c r="B5" s="3" t="n">
        <v>4.75</v>
      </c>
      <c r="C5" s="3" t="n">
        <v>5.25</v>
      </c>
      <c r="D5" s="3" t="n">
        <f aca="false">AVERAGE(B5:C5)</f>
        <v>5</v>
      </c>
      <c r="F5" s="1" t="s">
        <v>7</v>
      </c>
      <c r="G5" s="0" t="n">
        <v>4.6</v>
      </c>
      <c r="H5" s="0" t="n">
        <v>4.75</v>
      </c>
      <c r="I5" s="0" t="n">
        <f aca="false">AVERAGE(G5:H5)</f>
        <v>4.675</v>
      </c>
      <c r="K5" s="1" t="s">
        <v>11</v>
      </c>
      <c r="L5" s="0" t="n">
        <v>4.7</v>
      </c>
      <c r="M5" s="0" t="n">
        <v>5</v>
      </c>
      <c r="N5" s="0" t="n">
        <f aca="false">AVERAGE(L5:M5)</f>
        <v>4.85</v>
      </c>
    </row>
    <row r="6" customFormat="false" ht="12.8" hidden="false" customHeight="false" outlineLevel="0" collapsed="false">
      <c r="A6" s="1" t="s">
        <v>23</v>
      </c>
      <c r="B6" s="3" t="n">
        <f aca="false">AVERAGE(B3:B5)</f>
        <v>4.66666666666667</v>
      </c>
      <c r="C6" s="3" t="n">
        <f aca="false">AVERAGE(C3:C5)</f>
        <v>5.08333333333333</v>
      </c>
      <c r="D6" s="3" t="n">
        <f aca="false">AVERAGE(B6:C6)</f>
        <v>4.875</v>
      </c>
      <c r="F6" s="1" t="s">
        <v>8</v>
      </c>
      <c r="G6" s="0" t="n">
        <v>5.25</v>
      </c>
      <c r="H6" s="0" t="n">
        <v>5.5</v>
      </c>
      <c r="I6" s="0" t="n">
        <f aca="false">AVERAGE(G6:H6)</f>
        <v>5.375</v>
      </c>
      <c r="K6" s="1" t="s">
        <v>12</v>
      </c>
      <c r="L6" s="0" t="n">
        <v>5</v>
      </c>
      <c r="M6" s="0" t="n">
        <v>4.5</v>
      </c>
      <c r="N6" s="0" t="n">
        <f aca="false">AVERAGE(L6:M6)</f>
        <v>4.75</v>
      </c>
    </row>
    <row r="7" customFormat="false" ht="12.8" hidden="false" customHeight="false" outlineLevel="0" collapsed="false">
      <c r="F7" s="1" t="s">
        <v>5</v>
      </c>
      <c r="G7" s="0" t="n">
        <v>5.4</v>
      </c>
      <c r="H7" s="0" t="n">
        <v>5</v>
      </c>
      <c r="I7" s="0" t="n">
        <f aca="false">AVERAGE(G7:H7)</f>
        <v>5.2</v>
      </c>
      <c r="K7" s="1" t="s">
        <v>13</v>
      </c>
      <c r="L7" s="0" t="n">
        <v>3.75</v>
      </c>
      <c r="M7" s="0" t="n">
        <v>4.25</v>
      </c>
      <c r="N7" s="0" t="n">
        <f aca="false">AVERAGE(L7:M7)</f>
        <v>4</v>
      </c>
    </row>
    <row r="8" customFormat="false" ht="12.8" hidden="false" customHeight="false" outlineLevel="0" collapsed="false">
      <c r="F8" s="1" t="s">
        <v>23</v>
      </c>
      <c r="G8" s="3" t="n">
        <f aca="false">AVERAGE(G5:G7)</f>
        <v>5.08333333333333</v>
      </c>
      <c r="H8" s="3" t="n">
        <f aca="false">AVERAGE(H5:H7)</f>
        <v>5.08333333333333</v>
      </c>
      <c r="I8" s="3" t="n">
        <f aca="false">AVERAGE(I5:I7)</f>
        <v>5.08333333333333</v>
      </c>
      <c r="K8" s="1" t="s">
        <v>23</v>
      </c>
      <c r="L8" s="3" t="n">
        <f aca="false">AVERAGE(L5:L7)</f>
        <v>4.48333333333333</v>
      </c>
      <c r="M8" s="3" t="n">
        <f aca="false">AVERAGE(M5:M7)</f>
        <v>4.58333333333333</v>
      </c>
      <c r="N8" s="3" t="n">
        <f aca="false">AVERAGE(N5:N7)</f>
        <v>4.53333333333333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2026-01-08T11:31:24Z</dcterms:created>
  <dc:creator/>
  <dc:description/>
  <dc:language>en-US</dc:language>
  <cp:lastModifiedBy/>
  <dcterms:modified xsi:type="dcterms:W3CDTF">2026-01-26T10:26:13Z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