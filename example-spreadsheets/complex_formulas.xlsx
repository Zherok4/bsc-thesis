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x Formulas" sheetId="1" state="visible" r:id="rId3"/>
    <sheet name="Lookup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<sst xmlns="http://schemas.openxmlformats.org/spreadsheetml/2006/main" count="128" uniqueCount="32">
  <si>
    <t xml:space="preserve">A Values</t>
  </si>
  <si>
    <t xml:space="preserve">B Values</t>
  </si>
  <si>
    <t xml:space="preserve">C Values</t>
  </si>
  <si>
    <t xml:space="preserve">D Values</t>
  </si>
  <si>
    <t xml:space="preserve">E Values</t>
  </si>
  <si>
    <t xml:space="preserve">F Values</t>
  </si>
  <si>
    <t xml:space="preserve">G Values</t>
  </si>
  <si>
    <t xml:space="preserve">H Values</t>
  </si>
  <si>
    <t xml:space="preserve">I Values</t>
  </si>
  <si>
    <t xml:space="preserve">J Values</t>
  </si>
  <si>
    <t xml:space="preserve">K Values</t>
  </si>
  <si>
    <t xml:space="preserve">L Values</t>
  </si>
  <si>
    <t xml:space="preserve">M Values</t>
  </si>
  <si>
    <t xml:space="preserve">Formula Description</t>
  </si>
  <si>
    <t xml:space="preserve">Formula</t>
  </si>
  <si>
    <t xml:space="preserve">Result</t>
  </si>
  <si>
    <t xml:space="preserve">Nested IF with AND/SUM/AVG/MAX/MIN</t>
  </si>
  <si>
    <t xml:space="preserve">Financial PMT + SUM/COUNT</t>
  </si>
  <si>
    <t xml:space="preserve">IFERROR + VLOOKUP + INDEX/MATCH</t>
  </si>
  <si>
    <t xml:space="preserve">SUMPRODUCT with conditions</t>
  </si>
  <si>
    <t xml:space="preserve">Nested IF with conditions</t>
  </si>
  <si>
    <t xml:space="preserve">Nested SUM/IF/MAX/MIN/AVG + SQRT/ABS</t>
  </si>
  <si>
    <t xml:space="preserve">STDEV with SQRT/COUNT/AVG/MEDIAN</t>
  </si>
  <si>
    <t xml:space="preserve">Monster: OR/AND/SUM/AVG/MAX/MIN/VLOOKUP/ROUND/SUMPRODUCT/COUNT/INDEX/MATCH/SQRT</t>
  </si>
  <si>
    <t xml:space="preserve">Key</t>
  </si>
  <si>
    <t xml:space="preserve">Value1</t>
  </si>
  <si>
    <t xml:space="preserve">Value2</t>
  </si>
  <si>
    <t xml:space="preserve">Category</t>
  </si>
  <si>
    <t xml:space="preserve">Engineering</t>
  </si>
  <si>
    <t xml:space="preserve">Sales</t>
  </si>
  <si>
    <t xml:space="preserve">Finance</t>
  </si>
  <si>
    <t xml:space="preserve">Marketing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</si>
</sst>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2"/>
    <col collapsed="false" customWidth="true" hidden="false" outlineLevel="0" max="15" min="15" style="1" width="50"/>
    <col collapsed="false" customWidth="true" hidden="false" outlineLevel="0" max="16" min="16" style="1" width="80"/>
    <col collapsed="false" customWidth="true" hidden="false" outlineLevel="0" max="17" min="17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3" t="s">
        <v>13</v>
      </c>
      <c r="P1" s="3" t="s">
        <v>14</v>
      </c>
      <c r="Q1" s="3" t="s">
        <v>15</v>
      </c>
    </row>
    <row r="2" customFormat="false" ht="15" hidden="false" customHeight="true" outlineLevel="0" collapsed="false">
      <c r="A2" s="1" t="n">
        <v>24</v>
      </c>
      <c r="B2" s="1" t="n">
        <v>80</v>
      </c>
      <c r="C2" s="1" t="n">
        <v>98</v>
      </c>
      <c r="D2" s="1" t="n">
        <v>92</v>
      </c>
      <c r="E2" s="1" t="n">
        <v>9</v>
      </c>
      <c r="F2" s="1" t="n">
        <v>315</v>
      </c>
      <c r="G2" s="1" t="n">
        <v>84</v>
      </c>
      <c r="H2" s="1" t="n">
        <v>48</v>
      </c>
      <c r="I2" s="1" t="n">
        <v>25</v>
      </c>
      <c r="J2" s="1" t="n">
        <v>100</v>
      </c>
      <c r="K2" s="1" t="n">
        <v>40</v>
      </c>
      <c r="L2" s="1" t="n">
        <v>22</v>
      </c>
      <c r="M2" s="1" t="n">
        <v>15</v>
      </c>
      <c r="O2" s="1" t="s">
        <v>16</v>
      </c>
      <c r="P2" s="1" t="n">
        <f aca="false">IF(AND(SUM(A2:A11)&gt;100,AVERAGE(B2:B11)&lt;50),MAX(C2:C11)*1.1,MIN(D2:D11)/2)</f>
        <v>14.5</v>
      </c>
      <c r="Q2" s="1" t="n">
        <f aca="false">IF(AND(SUM(A2:A11)&gt;100,AVERAGE(B2:B11)&lt;50),MAX(C2:C11)*1.1,MIN(D2:D11)/2)</f>
        <v>14.5</v>
      </c>
    </row>
    <row r="3" customFormat="false" ht="15" hidden="false" customHeight="true" outlineLevel="0" collapsed="false">
      <c r="A3" s="1" t="n">
        <v>23</v>
      </c>
      <c r="B3" s="1" t="n">
        <v>48</v>
      </c>
      <c r="C3" s="1" t="n">
        <v>122</v>
      </c>
      <c r="D3" s="1" t="n">
        <v>52</v>
      </c>
      <c r="E3" s="1" t="n">
        <v>1</v>
      </c>
      <c r="F3" s="1" t="n">
        <v>246</v>
      </c>
      <c r="G3" s="1" t="n">
        <v>38</v>
      </c>
      <c r="H3" s="1" t="n">
        <v>22</v>
      </c>
      <c r="I3" s="1" t="n">
        <v>99</v>
      </c>
      <c r="J3" s="1" t="n">
        <v>71</v>
      </c>
      <c r="K3" s="1" t="n">
        <v>13</v>
      </c>
      <c r="L3" s="1" t="n">
        <v>78</v>
      </c>
      <c r="M3" s="1" t="n">
        <v>32</v>
      </c>
      <c r="O3" s="1" t="s">
        <v>17</v>
      </c>
      <c r="P3" s="4" t="n">
        <f aca="false">PMT(0.05/12,30*12,-100000)*(1+0.02)+SUM(F2:F11)/COUNT(F2:F11)</f>
        <v>876.358055472382</v>
      </c>
      <c r="Q3" s="4" t="n">
        <f aca="false">PMT(0.05/12,30*12,-100000)*(1+0.02)+SUM(F2:F11)/COUNT(F2:F11)</f>
        <v>876.358055472382</v>
      </c>
    </row>
    <row r="4" customFormat="false" ht="15" hidden="false" customHeight="true" outlineLevel="0" collapsed="false">
      <c r="A4" s="1" t="n">
        <v>20</v>
      </c>
      <c r="B4" s="1" t="n">
        <v>70</v>
      </c>
      <c r="C4" s="1" t="n">
        <v>67</v>
      </c>
      <c r="D4" s="1" t="n">
        <v>73</v>
      </c>
      <c r="E4" s="1" t="n">
        <v>46</v>
      </c>
      <c r="F4" s="1" t="n">
        <v>446</v>
      </c>
      <c r="G4" s="1" t="n">
        <v>47</v>
      </c>
      <c r="H4" s="1" t="n">
        <v>64</v>
      </c>
      <c r="I4" s="1" t="n">
        <v>86</v>
      </c>
      <c r="J4" s="1" t="n">
        <v>72</v>
      </c>
      <c r="K4" s="1" t="n">
        <v>11</v>
      </c>
      <c r="L4" s="1" t="n">
        <v>47</v>
      </c>
      <c r="M4" s="1" t="n">
        <v>16</v>
      </c>
      <c r="O4" s="1" t="s">
        <v>18</v>
      </c>
      <c r="P4" s="1" t="n">
        <f aca="false">IFERROR(VLOOKUP(A2,B2:D11,3,FALSE())*1.15+INDEX(E2:E11,MATCH(MAX(F2:F11),F2:F11,0)),0)</f>
        <v>0</v>
      </c>
      <c r="Q4" s="1" t="n">
        <f aca="false">IFERROR(VLOOKUP(A2,B2:D11,3,FALSE())*1.15+INDEX(E2:E11,MATCH(MAX(F2:F11),F2:F11,0)),0)</f>
        <v>0</v>
      </c>
    </row>
    <row r="5" customFormat="false" ht="15" hidden="false" customHeight="true" outlineLevel="0" collapsed="false">
      <c r="A5" s="1" t="n">
        <v>8</v>
      </c>
      <c r="B5" s="1" t="n">
        <v>75</v>
      </c>
      <c r="C5" s="1" t="n">
        <v>153</v>
      </c>
      <c r="D5" s="1" t="n">
        <v>50</v>
      </c>
      <c r="E5" s="1" t="n">
        <v>13</v>
      </c>
      <c r="F5" s="1" t="n">
        <v>247</v>
      </c>
      <c r="G5" s="1" t="n">
        <v>44</v>
      </c>
      <c r="H5" s="1" t="n">
        <v>92</v>
      </c>
      <c r="I5" s="1" t="n">
        <v>18</v>
      </c>
      <c r="J5" s="1" t="n">
        <v>4</v>
      </c>
      <c r="K5" s="1" t="n">
        <v>11</v>
      </c>
      <c r="L5" s="1" t="n">
        <v>58</v>
      </c>
      <c r="M5" s="1" t="n">
        <v>45</v>
      </c>
      <c r="O5" s="1" t="s">
        <v>19</v>
      </c>
      <c r="P5" s="1" t="n">
        <f aca="false">SUMPRODUCT((A2:A11&gt;10)*(B2:B11&gt;30)*(C2:C11))/MAX(COUNTIFS(A2:A11,"&gt;10",B2:B11,"&gt;30"),1)</f>
        <v>124.857142857143</v>
      </c>
      <c r="Q5" s="1" t="n">
        <f aca="false">SUMPRODUCT((A2:A11&gt;10)*(B2:B11&gt;30)*(C2:C11))/MAX(COUNTIFS(A2:A11,"&gt;10",B2:B11,"&gt;30"),1)</f>
        <v>124.857142857143</v>
      </c>
    </row>
    <row r="6" customFormat="false" ht="15" hidden="false" customHeight="true" outlineLevel="0" collapsed="false">
      <c r="A6" s="1" t="n">
        <v>9</v>
      </c>
      <c r="B6" s="1" t="n">
        <v>69</v>
      </c>
      <c r="C6" s="1" t="n">
        <v>59</v>
      </c>
      <c r="D6" s="1" t="n">
        <v>29</v>
      </c>
      <c r="E6" s="1" t="n">
        <v>19</v>
      </c>
      <c r="F6" s="1" t="n">
        <v>394</v>
      </c>
      <c r="G6" s="1" t="n">
        <v>78</v>
      </c>
      <c r="H6" s="1" t="n">
        <v>77</v>
      </c>
      <c r="I6" s="1" t="n">
        <v>94</v>
      </c>
      <c r="J6" s="1" t="n">
        <v>82</v>
      </c>
      <c r="K6" s="1" t="n">
        <v>81</v>
      </c>
      <c r="L6" s="1" t="n">
        <v>20</v>
      </c>
      <c r="M6" s="1" t="n">
        <v>85</v>
      </c>
      <c r="O6" s="1" t="s">
        <v>20</v>
      </c>
      <c r="P6" s="1" t="str">
        <f aca="false">IF(A2&gt;15,"High",IF(AND(A2&gt;=10,A2&lt;=15),"Medium","Low"))</f>
        <v>High</v>
      </c>
      <c r="Q6" s="1" t="str">
        <f aca="false">IF(A2&gt;15,"High",IF(AND(A2&gt;=10,A2&lt;=15),"Medium","Low"))</f>
        <v>High</v>
      </c>
    </row>
    <row r="7" customFormat="false" ht="15" hidden="false" customHeight="true" outlineLevel="0" collapsed="false">
      <c r="A7" s="1" t="n">
        <v>21</v>
      </c>
      <c r="B7" s="1" t="n">
        <v>52</v>
      </c>
      <c r="C7" s="1" t="n">
        <v>114</v>
      </c>
      <c r="D7" s="1" t="n">
        <v>60</v>
      </c>
      <c r="E7" s="1" t="n">
        <v>39</v>
      </c>
      <c r="F7" s="1" t="n">
        <v>322</v>
      </c>
      <c r="G7" s="1" t="n">
        <v>99</v>
      </c>
      <c r="H7" s="1" t="n">
        <v>18</v>
      </c>
      <c r="I7" s="1" t="n">
        <v>65</v>
      </c>
      <c r="J7" s="1" t="n">
        <v>67</v>
      </c>
      <c r="K7" s="1" t="n">
        <v>7</v>
      </c>
      <c r="L7" s="1" t="n">
        <v>9</v>
      </c>
      <c r="M7" s="1" t="n">
        <v>69</v>
      </c>
      <c r="O7" s="1" t="s">
        <v>21</v>
      </c>
      <c r="P7" s="1" t="n">
        <f aca="false">SUM(IF(A2&gt;0,MAX(B2:B11,MIN(C2:C11,AVERAGE(D2:D11))),0),IF(E2&lt;100,ROUND(F2*G2/H2,2),FLOOR(I2/J2,0.5)))+SQRT(ABS(K2-L2))^2</f>
        <v>649.25</v>
      </c>
      <c r="Q7" s="1" t="n">
        <f aca="false">SUM(IF(A2&gt;0,MAX(B2:B11,MIN(C2:C11,AVERAGE(D2:D11))),0),IF(E2&lt;100,ROUND(F2*G2/H2,2),FLOOR(I2/J2,0.5)))+SQRT(ABS(K2-L2))^2</f>
        <v>649.25</v>
      </c>
    </row>
    <row r="8" customFormat="false" ht="15" hidden="false" customHeight="true" outlineLevel="0" collapsed="false">
      <c r="A8" s="1" t="n">
        <v>17</v>
      </c>
      <c r="B8" s="1" t="n">
        <v>35</v>
      </c>
      <c r="C8" s="1" t="n">
        <v>193</v>
      </c>
      <c r="D8" s="1" t="n">
        <v>54</v>
      </c>
      <c r="E8" s="1" t="n">
        <v>13</v>
      </c>
      <c r="F8" s="1" t="n">
        <v>123</v>
      </c>
      <c r="G8" s="1" t="n">
        <v>83</v>
      </c>
      <c r="H8" s="1" t="n">
        <v>26</v>
      </c>
      <c r="I8" s="1" t="n">
        <v>41</v>
      </c>
      <c r="J8" s="1" t="n">
        <v>73</v>
      </c>
      <c r="K8" s="1" t="n">
        <v>68</v>
      </c>
      <c r="L8" s="1" t="n">
        <v>6</v>
      </c>
      <c r="M8" s="1" t="n">
        <v>90</v>
      </c>
      <c r="O8" s="1" t="s">
        <v>22</v>
      </c>
      <c r="P8" s="1" t="n">
        <f aca="false">STDEV(A2:A11)*SQRT(COUNT(A2:A11))/MAX(AVERAGE(ABS(B2:B11)),1)+C2*0.05</f>
        <v>5.5395151224457</v>
      </c>
      <c r="Q8" s="1" t="n">
        <f aca="false">STDEV(A2:A11)*SQRT(COUNT(A2:A11))/MAX(AVERAGE(ABS(B2:B11)),1)+C2*0.05</f>
        <v>5.5395151224457</v>
      </c>
    </row>
    <row r="9" customFormat="false" ht="15" hidden="false" customHeight="true" outlineLevel="0" collapsed="false">
      <c r="A9" s="1" t="n">
        <v>5</v>
      </c>
      <c r="B9" s="1" t="n">
        <v>28</v>
      </c>
      <c r="C9" s="1" t="n">
        <v>65</v>
      </c>
      <c r="D9" s="1" t="n">
        <v>34</v>
      </c>
      <c r="E9" s="1" t="n">
        <v>36</v>
      </c>
      <c r="F9" s="1" t="n">
        <v>449</v>
      </c>
      <c r="G9" s="1" t="n">
        <v>35</v>
      </c>
      <c r="H9" s="1" t="n">
        <v>100</v>
      </c>
      <c r="I9" s="1" t="n">
        <v>66</v>
      </c>
      <c r="J9" s="1" t="n">
        <v>13</v>
      </c>
      <c r="K9" s="1" t="n">
        <v>87</v>
      </c>
      <c r="L9" s="1" t="n">
        <v>96</v>
      </c>
      <c r="M9" s="1" t="n">
        <v>71</v>
      </c>
      <c r="O9" s="1" t="s">
        <v>23</v>
      </c>
      <c r="P9" s="1" t="n">
        <f aca="false">IF(OR(AND(SUM(A2:A11)&gt;AVERAGE(B2:B11)*2,MAX(C2:C11)-MIN(C2:C11)&gt;100),IFERROR(VLOOKUP(D2,E2:G11,2,FALSE()),0)&gt;20),ROUND(SUMPRODUCT(H2:H11*I2:I11)/(COUNT(H2:H11)+1),2)*1.15+10,IFERROR(INDEX(J2:J11,MATCH(MAX(K2:K11),K2:K11,0))/SQRT(L2^2+M2^2),-1))</f>
        <v>4007.607</v>
      </c>
      <c r="Q9" s="1" t="n">
        <f aca="false">IF(OR(AND(SUM(A2:A11)&gt;AVERAGE(B2:B11)*2,MAX(C2:C11)-MIN(C2:C11)&gt;100),IFERROR(VLOOKUP(D2,E2:G11,2,FALSE()),0)&gt;20),ROUND(SUMPRODUCT(H2:H11*I2:I11)/(COUNT(H2:H11)+1),2)*1.15+10,IFERROR(INDEX(J2:J11,MATCH(MAX(K2:K11),K2:K11,0))/SQRT(L2^2+M2^2),-1))</f>
        <v>4007.607</v>
      </c>
    </row>
    <row r="10" customFormat="false" ht="15" hidden="false" customHeight="true" outlineLevel="0" collapsed="false">
      <c r="A10" s="1" t="n">
        <v>23</v>
      </c>
      <c r="B10" s="1" t="n">
        <v>77</v>
      </c>
      <c r="C10" s="1" t="n">
        <v>98</v>
      </c>
      <c r="D10" s="1" t="n">
        <v>88</v>
      </c>
      <c r="E10" s="1" t="n">
        <v>12</v>
      </c>
      <c r="F10" s="1" t="n">
        <v>289</v>
      </c>
      <c r="G10" s="1" t="n">
        <v>79</v>
      </c>
      <c r="H10" s="1" t="n">
        <v>86</v>
      </c>
      <c r="I10" s="1" t="n">
        <v>41</v>
      </c>
      <c r="J10" s="1" t="n">
        <v>29</v>
      </c>
      <c r="K10" s="1" t="n">
        <v>52</v>
      </c>
      <c r="L10" s="1" t="n">
        <v>53</v>
      </c>
      <c r="M10" s="1" t="n">
        <v>65</v>
      </c>
    </row>
    <row r="11" customFormat="false" ht="15" hidden="false" customHeight="true" outlineLevel="0" collapsed="false">
      <c r="A11" s="1" t="n">
        <v>21</v>
      </c>
      <c r="B11" s="1" t="n">
        <v>80</v>
      </c>
      <c r="C11" s="1" t="n">
        <v>182</v>
      </c>
      <c r="D11" s="1" t="n">
        <v>79</v>
      </c>
      <c r="E11" s="1" t="n">
        <v>16</v>
      </c>
      <c r="F11" s="1" t="n">
        <v>457</v>
      </c>
      <c r="G11" s="1" t="n">
        <v>81</v>
      </c>
      <c r="H11" s="1" t="n">
        <v>81</v>
      </c>
      <c r="I11" s="1" t="n">
        <v>100</v>
      </c>
      <c r="J11" s="1" t="n">
        <v>79</v>
      </c>
      <c r="K11" s="1" t="n">
        <v>42</v>
      </c>
      <c r="L11" s="1" t="n">
        <v>52</v>
      </c>
      <c r="M11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24</v>
      </c>
      <c r="B1" s="3" t="s">
        <v>25</v>
      </c>
      <c r="C1" s="3" t="s">
        <v>26</v>
      </c>
      <c r="D1" s="3" t="s">
        <v>27</v>
      </c>
    </row>
    <row r="2" customFormat="false" ht="15" hidden="false" customHeight="true" outlineLevel="0" collapsed="false">
      <c r="A2" s="1" t="n">
        <v>1</v>
      </c>
      <c r="B2" s="1" t="n">
        <v>916</v>
      </c>
      <c r="C2" s="1" t="n">
        <v>64</v>
      </c>
      <c r="D2" s="1" t="s">
        <v>28</v>
      </c>
    </row>
    <row r="3" customFormat="false" ht="15" hidden="false" customHeight="true" outlineLevel="0" collapsed="false">
      <c r="A3" s="1" t="n">
        <v>2</v>
      </c>
      <c r="B3" s="1" t="n">
        <v>648</v>
      </c>
      <c r="C3" s="1" t="n">
        <v>16</v>
      </c>
      <c r="D3" s="1" t="s">
        <v>29</v>
      </c>
    </row>
    <row r="4" customFormat="false" ht="15" hidden="false" customHeight="true" outlineLevel="0" collapsed="false">
      <c r="A4" s="1" t="n">
        <v>3</v>
      </c>
      <c r="B4" s="1" t="n">
        <v>738</v>
      </c>
      <c r="C4" s="1" t="n">
        <v>92</v>
      </c>
      <c r="D4" s="1" t="s">
        <v>30</v>
      </c>
    </row>
    <row r="5" customFormat="false" ht="15" hidden="false" customHeight="true" outlineLevel="0" collapsed="false">
      <c r="A5" s="1" t="n">
        <v>4</v>
      </c>
      <c r="B5" s="1" t="n">
        <v>287</v>
      </c>
      <c r="C5" s="1" t="n">
        <v>11</v>
      </c>
      <c r="D5" s="1" t="s">
        <v>31</v>
      </c>
    </row>
    <row r="6" customFormat="false" ht="15" hidden="false" customHeight="true" outlineLevel="0" collapsed="false">
      <c r="A6" s="1" t="n">
        <v>5</v>
      </c>
      <c r="B6" s="1" t="n">
        <v>284</v>
      </c>
      <c r="C6" s="1" t="n">
        <v>8</v>
      </c>
      <c r="D6" s="1" t="s">
        <v>31</v>
      </c>
    </row>
    <row r="7" customFormat="false" ht="15" hidden="false" customHeight="true" outlineLevel="0" collapsed="false">
      <c r="A7" s="1" t="n">
        <v>6</v>
      </c>
      <c r="B7" s="1" t="n">
        <v>950</v>
      </c>
      <c r="C7" s="1" t="n">
        <v>28</v>
      </c>
      <c r="D7" s="1" t="s">
        <v>28</v>
      </c>
    </row>
    <row r="8" customFormat="false" ht="15" hidden="false" customHeight="true" outlineLevel="0" collapsed="false">
      <c r="A8" s="1" t="n">
        <v>7</v>
      </c>
      <c r="B8" s="1" t="n">
        <v>472</v>
      </c>
      <c r="C8" s="1" t="n">
        <v>100</v>
      </c>
      <c r="D8" s="1" t="s">
        <v>29</v>
      </c>
    </row>
    <row r="9" customFormat="false" ht="15" hidden="false" customHeight="true" outlineLevel="0" collapsed="false">
      <c r="A9" s="1" t="n">
        <v>8</v>
      </c>
      <c r="B9" s="1" t="n">
        <v>428</v>
      </c>
      <c r="C9" s="1" t="n">
        <v>97</v>
      </c>
      <c r="D9" s="1" t="s">
        <v>28</v>
      </c>
    </row>
    <row r="10" customFormat="false" ht="15" hidden="false" customHeight="true" outlineLevel="0" collapsed="false">
      <c r="A10" s="1" t="n">
        <v>9</v>
      </c>
      <c r="B10" s="1" t="n">
        <v>560</v>
      </c>
      <c r="C10" s="1" t="n">
        <v>47</v>
      </c>
      <c r="D10" s="1" t="s">
        <v>31</v>
      </c>
    </row>
    <row r="11" customFormat="false" ht="15" hidden="false" customHeight="true" outlineLevel="0" collapsed="false">
      <c r="A11" s="1" t="n">
        <v>10</v>
      </c>
      <c r="B11" s="1" t="n">
        <v>174</v>
      </c>
      <c r="C11" s="1" t="n">
        <v>59</v>
      </c>
      <c r="D11" s="1" t="s">
        <v>28</v>
      </c>
    </row>
    <row r="12" customFormat="false" ht="15" hidden="false" customHeight="true" outlineLevel="0" collapsed="false">
      <c r="A12" s="1" t="n">
        <v>11</v>
      </c>
      <c r="B12" s="1" t="n">
        <v>183</v>
      </c>
      <c r="C12" s="1" t="n">
        <v>44</v>
      </c>
      <c r="D12" s="1" t="s">
        <v>31</v>
      </c>
    </row>
    <row r="13" customFormat="false" ht="15" hidden="false" customHeight="true" outlineLevel="0" collapsed="false">
      <c r="A13" s="1" t="n">
        <v>12</v>
      </c>
      <c r="B13" s="1" t="n">
        <v>851</v>
      </c>
      <c r="C13" s="1" t="n">
        <v>97</v>
      </c>
      <c r="D13" s="1" t="s">
        <v>30</v>
      </c>
    </row>
    <row r="14" customFormat="false" ht="15" hidden="false" customHeight="true" outlineLevel="0" collapsed="false">
      <c r="A14" s="1" t="n">
        <v>13</v>
      </c>
      <c r="B14" s="1" t="n">
        <v>843</v>
      </c>
      <c r="C14" s="1" t="n">
        <v>2</v>
      </c>
      <c r="D14" s="1" t="s">
        <v>31</v>
      </c>
    </row>
    <row r="15" customFormat="false" ht="15" hidden="false" customHeight="true" outlineLevel="0" collapsed="false">
      <c r="A15" s="1" t="n">
        <v>14</v>
      </c>
      <c r="B15" s="1" t="n">
        <v>519</v>
      </c>
      <c r="C15" s="1" t="n">
        <v>75</v>
      </c>
      <c r="D15" s="1" t="s">
        <v>30</v>
      </c>
    </row>
    <row r="16" customFormat="false" ht="15" hidden="false" customHeight="true" outlineLevel="0" collapsed="false">
      <c r="A16" s="1" t="n">
        <v>15</v>
      </c>
      <c r="B16" s="1" t="n">
        <v>376</v>
      </c>
      <c r="C16" s="1" t="n">
        <v>58</v>
      </c>
      <c r="D16" s="1" t="s">
        <v>31</v>
      </c>
    </row>
    <row r="17" customFormat="false" ht="15" hidden="false" customHeight="true" outlineLevel="0" collapsed="false">
      <c r="A17" s="1" t="n">
        <v>16</v>
      </c>
      <c r="B17" s="1" t="n">
        <v>696</v>
      </c>
      <c r="C17" s="1" t="n">
        <v>48</v>
      </c>
      <c r="D17" s="1" t="s">
        <v>31</v>
      </c>
    </row>
    <row r="18" customFormat="false" ht="15" hidden="false" customHeight="true" outlineLevel="0" collapsed="false">
      <c r="A18" s="1" t="n">
        <v>17</v>
      </c>
      <c r="B18" s="1" t="n">
        <v>213</v>
      </c>
      <c r="C18" s="1" t="n">
        <v>83</v>
      </c>
      <c r="D18" s="1" t="s">
        <v>31</v>
      </c>
    </row>
    <row r="19" customFormat="false" ht="15" hidden="false" customHeight="true" outlineLevel="0" collapsed="false">
      <c r="A19" s="1" t="n">
        <v>18</v>
      </c>
      <c r="B19" s="1" t="n">
        <v>290</v>
      </c>
      <c r="C19" s="1" t="n">
        <v>32</v>
      </c>
      <c r="D19" s="1" t="s">
        <v>31</v>
      </c>
    </row>
    <row r="20" customFormat="false" ht="15" hidden="false" customHeight="true" outlineLevel="0" collapsed="false">
      <c r="A20" s="1" t="n">
        <v>19</v>
      </c>
      <c r="B20" s="1" t="n">
        <v>307</v>
      </c>
      <c r="C20" s="1" t="n">
        <v>85</v>
      </c>
      <c r="D20" s="1" t="s">
        <v>29</v>
      </c>
    </row>
    <row r="21" customFormat="false" ht="15" hidden="false" customHeight="true" outlineLevel="0" collapsed="false">
      <c r="A21" s="1" t="n">
        <v>20</v>
      </c>
      <c r="B21" s="1" t="n">
        <v>339</v>
      </c>
      <c r="C21" s="1" t="n">
        <v>57</v>
      </c>
      <c r="D21" s="1" t="s">
        <v>29</v>
      </c>
    </row>
    <row r="22" customFormat="false" ht="15" hidden="false" customHeight="true" outlineLevel="0" collapsed="false">
      <c r="A22" s="1" t="n">
        <v>21</v>
      </c>
      <c r="B22" s="1" t="n">
        <v>975</v>
      </c>
      <c r="C22" s="1" t="n">
        <v>27</v>
      </c>
      <c r="D22" s="1" t="s">
        <v>28</v>
      </c>
    </row>
    <row r="23" customFormat="false" ht="15" hidden="false" customHeight="true" outlineLevel="0" collapsed="false">
      <c r="A23" s="1" t="n">
        <v>22</v>
      </c>
      <c r="B23" s="1" t="n">
        <v>200</v>
      </c>
      <c r="C23" s="1" t="n">
        <v>99</v>
      </c>
      <c r="D23" s="1" t="s">
        <v>29</v>
      </c>
    </row>
    <row r="24" customFormat="false" ht="15" hidden="false" customHeight="true" outlineLevel="0" collapsed="false">
      <c r="A24" s="1" t="n">
        <v>23</v>
      </c>
      <c r="B24" s="1" t="n">
        <v>176</v>
      </c>
      <c r="C24" s="1" t="n">
        <v>9</v>
      </c>
      <c r="D24" s="1" t="s">
        <v>30</v>
      </c>
    </row>
    <row r="25" customFormat="false" ht="15" hidden="false" customHeight="true" outlineLevel="0" collapsed="false">
      <c r="A25" s="1" t="n">
        <v>24</v>
      </c>
      <c r="B25" s="1" t="n">
        <v>931</v>
      </c>
      <c r="C25" s="1" t="n">
        <v>23</v>
      </c>
      <c r="D25" s="1" t="s">
        <v>29</v>
      </c>
    </row>
    <row r="26" customFormat="false" ht="15" hidden="false" customHeight="true" outlineLevel="0" collapsed="false">
      <c r="A26" s="1" t="n">
        <v>25</v>
      </c>
      <c r="B26" s="1" t="n">
        <v>837</v>
      </c>
      <c r="C26" s="1" t="n">
        <v>41</v>
      </c>
      <c r="D26" s="1" t="s">
        <v>29</v>
      </c>
    </row>
    <row r="27" customFormat="false" ht="15" hidden="false" customHeight="true" outlineLevel="0" collapsed="false">
      <c r="A27" s="1" t="n">
        <v>26</v>
      </c>
      <c r="B27" s="1" t="n">
        <v>105</v>
      </c>
      <c r="C27" s="1" t="n">
        <v>77</v>
      </c>
      <c r="D27" s="1" t="s">
        <v>28</v>
      </c>
    </row>
    <row r="28" customFormat="false" ht="15" hidden="false" customHeight="true" outlineLevel="0" collapsed="false">
      <c r="A28" s="1" t="n">
        <v>27</v>
      </c>
      <c r="B28" s="1" t="n">
        <v>739</v>
      </c>
      <c r="C28" s="1" t="n">
        <v>80</v>
      </c>
      <c r="D28" s="1" t="s">
        <v>28</v>
      </c>
    </row>
    <row r="29" customFormat="false" ht="15" hidden="false" customHeight="true" outlineLevel="0" collapsed="false">
      <c r="A29" s="1" t="n">
        <v>28</v>
      </c>
      <c r="B29" s="1" t="n">
        <v>600</v>
      </c>
      <c r="C29" s="1" t="n">
        <v>87</v>
      </c>
      <c r="D29" s="1" t="s">
        <v>30</v>
      </c>
    </row>
    <row r="30" customFormat="false" ht="15" hidden="false" customHeight="true" outlineLevel="0" collapsed="false">
      <c r="A30" s="1" t="n">
        <v>29</v>
      </c>
      <c r="B30" s="1" t="n">
        <v>483</v>
      </c>
      <c r="C30" s="1" t="n">
        <v>46</v>
      </c>
      <c r="D30" s="1" t="s">
        <v>29</v>
      </c>
    </row>
    <row r="31" customFormat="false" ht="15" hidden="false" customHeight="true" outlineLevel="0" collapsed="false">
      <c r="A31" s="1" t="n">
        <v>30</v>
      </c>
      <c r="B31" s="1" t="n">
        <v>231</v>
      </c>
      <c r="C31" s="1" t="n">
        <v>53</v>
      </c>
      <c r="D31" s="1" t="s">
        <v>30</v>
      </c>
    </row>
    <row r="32" customFormat="false" ht="15" hidden="false" customHeight="true" outlineLevel="0" collapsed="false">
      <c r="A32" s="1" t="n">
        <v>31</v>
      </c>
      <c r="B32" s="1" t="n">
        <v>645</v>
      </c>
      <c r="C32" s="1" t="n">
        <v>51</v>
      </c>
      <c r="D32" s="1" t="s">
        <v>28</v>
      </c>
    </row>
    <row r="33" customFormat="false" ht="15" hidden="false" customHeight="true" outlineLevel="0" collapsed="false">
      <c r="A33" s="1" t="n">
        <v>32</v>
      </c>
      <c r="B33" s="1" t="n">
        <v>487</v>
      </c>
      <c r="C33" s="1" t="n">
        <v>77</v>
      </c>
      <c r="D33" s="1" t="s">
        <v>28</v>
      </c>
    </row>
    <row r="34" customFormat="false" ht="15" hidden="false" customHeight="true" outlineLevel="0" collapsed="false">
      <c r="A34" s="1" t="n">
        <v>33</v>
      </c>
      <c r="B34" s="1" t="n">
        <v>178</v>
      </c>
      <c r="C34" s="1" t="n">
        <v>38</v>
      </c>
      <c r="D34" s="1" t="s">
        <v>28</v>
      </c>
    </row>
    <row r="35" customFormat="false" ht="15" hidden="false" customHeight="true" outlineLevel="0" collapsed="false">
      <c r="A35" s="1" t="n">
        <v>34</v>
      </c>
      <c r="B35" s="1" t="n">
        <v>560</v>
      </c>
      <c r="C35" s="1" t="n">
        <v>60</v>
      </c>
      <c r="D35" s="1" t="s">
        <v>31</v>
      </c>
    </row>
    <row r="36" customFormat="false" ht="15" hidden="false" customHeight="true" outlineLevel="0" collapsed="false">
      <c r="A36" s="1" t="n">
        <v>35</v>
      </c>
      <c r="B36" s="1" t="n">
        <v>238</v>
      </c>
      <c r="C36" s="1" t="n">
        <v>17</v>
      </c>
      <c r="D36" s="1" t="s">
        <v>29</v>
      </c>
    </row>
    <row r="37" customFormat="false" ht="15" hidden="false" customHeight="true" outlineLevel="0" collapsed="false">
      <c r="A37" s="1" t="n">
        <v>36</v>
      </c>
      <c r="B37" s="1" t="n">
        <v>377</v>
      </c>
      <c r="C37" s="1" t="n">
        <v>99</v>
      </c>
      <c r="D37" s="1" t="s">
        <v>31</v>
      </c>
    </row>
    <row r="38" customFormat="false" ht="15" hidden="false" customHeight="true" outlineLevel="0" collapsed="false">
      <c r="A38" s="1" t="n">
        <v>37</v>
      </c>
      <c r="B38" s="1" t="n">
        <v>123</v>
      </c>
      <c r="C38" s="1" t="n">
        <v>12</v>
      </c>
      <c r="D38" s="1" t="s">
        <v>31</v>
      </c>
    </row>
    <row r="39" customFormat="false" ht="15" hidden="false" customHeight="true" outlineLevel="0" collapsed="false">
      <c r="A39" s="1" t="n">
        <v>38</v>
      </c>
      <c r="B39" s="1" t="n">
        <v>171</v>
      </c>
      <c r="C39" s="1" t="n">
        <v>54</v>
      </c>
      <c r="D39" s="1" t="s">
        <v>28</v>
      </c>
    </row>
    <row r="40" customFormat="false" ht="15" hidden="false" customHeight="true" outlineLevel="0" collapsed="false">
      <c r="A40" s="1" t="n">
        <v>39</v>
      </c>
      <c r="B40" s="1" t="n">
        <v>520</v>
      </c>
      <c r="C40" s="1" t="n">
        <v>92</v>
      </c>
      <c r="D40" s="1" t="s">
        <v>28</v>
      </c>
    </row>
    <row r="41" customFormat="false" ht="15" hidden="false" customHeight="true" outlineLevel="0" collapsed="false">
      <c r="A41" s="1" t="n">
        <v>40</v>
      </c>
      <c r="B41" s="1" t="n">
        <v>111</v>
      </c>
      <c r="C41" s="1" t="n">
        <v>33</v>
      </c>
      <c r="D41" s="1" t="s">
        <v>31</v>
      </c>
    </row>
    <row r="42" customFormat="false" ht="15" hidden="false" customHeight="true" outlineLevel="0" collapsed="false">
      <c r="A42" s="1" t="n">
        <v>41</v>
      </c>
      <c r="B42" s="1" t="n">
        <v>888</v>
      </c>
      <c r="C42" s="1" t="n">
        <v>66</v>
      </c>
      <c r="D42" s="1" t="s">
        <v>31</v>
      </c>
    </row>
    <row r="43" customFormat="false" ht="15" hidden="false" customHeight="true" outlineLevel="0" collapsed="false">
      <c r="A43" s="1" t="n">
        <v>42</v>
      </c>
      <c r="B43" s="1" t="n">
        <v>616</v>
      </c>
      <c r="C43" s="1" t="n">
        <v>9</v>
      </c>
      <c r="D43" s="1" t="s">
        <v>30</v>
      </c>
    </row>
    <row r="44" customFormat="false" ht="15" hidden="false" customHeight="true" outlineLevel="0" collapsed="false">
      <c r="A44" s="1" t="n">
        <v>43</v>
      </c>
      <c r="B44" s="1" t="n">
        <v>764</v>
      </c>
      <c r="C44" s="1" t="n">
        <v>83</v>
      </c>
      <c r="D44" s="1" t="s">
        <v>29</v>
      </c>
    </row>
    <row r="45" customFormat="false" ht="15" hidden="false" customHeight="true" outlineLevel="0" collapsed="false">
      <c r="A45" s="1" t="n">
        <v>44</v>
      </c>
      <c r="B45" s="1" t="n">
        <v>997</v>
      </c>
      <c r="C45" s="1" t="n">
        <v>69</v>
      </c>
      <c r="D45" s="1" t="s">
        <v>28</v>
      </c>
    </row>
    <row r="46" customFormat="false" ht="15" hidden="false" customHeight="true" outlineLevel="0" collapsed="false">
      <c r="A46" s="1" t="n">
        <v>45</v>
      </c>
      <c r="B46" s="1" t="n">
        <v>274</v>
      </c>
      <c r="C46" s="1" t="n">
        <v>36</v>
      </c>
      <c r="D46" s="1" t="s">
        <v>29</v>
      </c>
    </row>
    <row r="47" customFormat="false" ht="15" hidden="false" customHeight="true" outlineLevel="0" collapsed="false">
      <c r="A47" s="1" t="n">
        <v>46</v>
      </c>
      <c r="B47" s="1" t="n">
        <v>965</v>
      </c>
      <c r="C47" s="1" t="n">
        <v>95</v>
      </c>
      <c r="D47" s="1" t="s">
        <v>30</v>
      </c>
    </row>
    <row r="48" customFormat="false" ht="15" hidden="false" customHeight="true" outlineLevel="0" collapsed="false">
      <c r="A48" s="1" t="n">
        <v>47</v>
      </c>
      <c r="B48" s="1" t="n">
        <v>907</v>
      </c>
      <c r="C48" s="1" t="n">
        <v>64</v>
      </c>
      <c r="D48" s="1" t="s">
        <v>29</v>
      </c>
    </row>
    <row r="49" customFormat="false" ht="15" hidden="false" customHeight="true" outlineLevel="0" collapsed="false">
      <c r="A49" s="1" t="n">
        <v>48</v>
      </c>
      <c r="B49" s="1" t="n">
        <v>295</v>
      </c>
      <c r="C49" s="1" t="n">
        <v>40</v>
      </c>
      <c r="D49" s="1" t="s">
        <v>29</v>
      </c>
    </row>
    <row r="50" customFormat="false" ht="15" hidden="false" customHeight="true" outlineLevel="0" collapsed="false">
      <c r="A50" s="1" t="n">
        <v>49</v>
      </c>
      <c r="B50" s="1" t="n">
        <v>326</v>
      </c>
      <c r="C50" s="1" t="n">
        <v>89</v>
      </c>
      <c r="D50" s="1" t="s">
        <v>30</v>
      </c>
    </row>
    <row r="51" customFormat="false" ht="15" hidden="false" customHeight="true" outlineLevel="0" collapsed="false">
      <c r="A51" s="1" t="n">
        <v>50</v>
      </c>
      <c r="B51" s="1" t="n">
        <v>937</v>
      </c>
      <c r="C51" s="1" t="n">
        <v>94</v>
      </c>
      <c r="D51" s="1" t="s">
        <v>30</v>
      </c>
    </row>
    <row r="52" customFormat="false" ht="15" hidden="false" customHeight="true" outlineLevel="0" collapsed="false">
      <c r="A52" s="1" t="n">
        <v>51</v>
      </c>
      <c r="B52" s="1" t="n">
        <v>958</v>
      </c>
      <c r="C52" s="1" t="n">
        <v>36</v>
      </c>
      <c r="D52" s="1" t="s">
        <v>29</v>
      </c>
    </row>
    <row r="53" customFormat="false" ht="15" hidden="false" customHeight="true" outlineLevel="0" collapsed="false">
      <c r="A53" s="1" t="n">
        <v>52</v>
      </c>
      <c r="B53" s="1" t="n">
        <v>983</v>
      </c>
      <c r="C53" s="1" t="n">
        <v>46</v>
      </c>
      <c r="D53" s="1" t="s">
        <v>30</v>
      </c>
    </row>
    <row r="54" customFormat="false" ht="15" hidden="false" customHeight="true" outlineLevel="0" collapsed="false">
      <c r="A54" s="1" t="n">
        <v>53</v>
      </c>
      <c r="B54" s="1" t="n">
        <v>898</v>
      </c>
      <c r="C54" s="1" t="n">
        <v>45</v>
      </c>
      <c r="D54" s="1" t="s">
        <v>30</v>
      </c>
    </row>
    <row r="55" customFormat="false" ht="15" hidden="false" customHeight="true" outlineLevel="0" collapsed="false">
      <c r="A55" s="1" t="n">
        <v>54</v>
      </c>
      <c r="B55" s="1" t="n">
        <v>200</v>
      </c>
      <c r="C55" s="1" t="n">
        <v>34</v>
      </c>
      <c r="D55" s="1" t="s">
        <v>31</v>
      </c>
    </row>
    <row r="56" customFormat="false" ht="15" hidden="false" customHeight="true" outlineLevel="0" collapsed="false">
      <c r="A56" s="1" t="n">
        <v>55</v>
      </c>
      <c r="B56" s="1" t="n">
        <v>566</v>
      </c>
      <c r="C56" s="1" t="n">
        <v>83</v>
      </c>
      <c r="D56" s="1" t="s">
        <v>29</v>
      </c>
    </row>
    <row r="57" customFormat="false" ht="15" hidden="false" customHeight="true" outlineLevel="0" collapsed="false">
      <c r="A57" s="1" t="n">
        <v>56</v>
      </c>
      <c r="B57" s="1" t="n">
        <v>783</v>
      </c>
      <c r="C57" s="1" t="n">
        <v>90</v>
      </c>
      <c r="D57" s="1" t="s">
        <v>31</v>
      </c>
    </row>
    <row r="58" customFormat="false" ht="15" hidden="false" customHeight="true" outlineLevel="0" collapsed="false">
      <c r="A58" s="1" t="n">
        <v>57</v>
      </c>
      <c r="B58" s="1" t="n">
        <v>402</v>
      </c>
      <c r="C58" s="1" t="n">
        <v>83</v>
      </c>
      <c r="D58" s="1" t="s">
        <v>29</v>
      </c>
    </row>
    <row r="59" customFormat="false" ht="15" hidden="false" customHeight="true" outlineLevel="0" collapsed="false">
      <c r="A59" s="1" t="n">
        <v>58</v>
      </c>
      <c r="B59" s="1" t="n">
        <v>401</v>
      </c>
      <c r="C59" s="1" t="n">
        <v>58</v>
      </c>
      <c r="D59" s="1" t="s">
        <v>31</v>
      </c>
    </row>
    <row r="60" customFormat="false" ht="15" hidden="false" customHeight="true" outlineLevel="0" collapsed="false">
      <c r="A60" s="1" t="n">
        <v>59</v>
      </c>
      <c r="B60" s="1" t="n">
        <v>682</v>
      </c>
      <c r="C60" s="1" t="n">
        <v>19</v>
      </c>
      <c r="D60" s="1" t="s">
        <v>28</v>
      </c>
    </row>
    <row r="61" customFormat="false" ht="15" hidden="false" customHeight="true" outlineLevel="0" collapsed="false">
      <c r="A61" s="1" t="n">
        <v>60</v>
      </c>
      <c r="B61" s="1" t="n">
        <v>241</v>
      </c>
      <c r="C61" s="1" t="n">
        <v>29</v>
      </c>
      <c r="D61" s="1" t="s">
        <v>30</v>
      </c>
    </row>
    <row r="62" customFormat="false" ht="15" hidden="false" customHeight="true" outlineLevel="0" collapsed="false">
      <c r="A62" s="1" t="n">
        <v>61</v>
      </c>
      <c r="B62" s="1" t="n">
        <v>394</v>
      </c>
      <c r="C62" s="1" t="n">
        <v>48</v>
      </c>
      <c r="D62" s="1" t="s">
        <v>30</v>
      </c>
    </row>
    <row r="63" customFormat="false" ht="15" hidden="false" customHeight="true" outlineLevel="0" collapsed="false">
      <c r="A63" s="1" t="n">
        <v>62</v>
      </c>
      <c r="B63" s="1" t="n">
        <v>247</v>
      </c>
      <c r="C63" s="1" t="n">
        <v>39</v>
      </c>
      <c r="D63" s="1" t="s">
        <v>29</v>
      </c>
    </row>
    <row r="64" customFormat="false" ht="15" hidden="false" customHeight="true" outlineLevel="0" collapsed="false">
      <c r="A64" s="1" t="n">
        <v>63</v>
      </c>
      <c r="B64" s="1" t="n">
        <v>549</v>
      </c>
      <c r="C64" s="1" t="n">
        <v>19</v>
      </c>
      <c r="D64" s="1" t="s">
        <v>30</v>
      </c>
    </row>
    <row r="65" customFormat="false" ht="15" hidden="false" customHeight="true" outlineLevel="0" collapsed="false">
      <c r="A65" s="1" t="n">
        <v>64</v>
      </c>
      <c r="B65" s="1" t="n">
        <v>494</v>
      </c>
      <c r="C65" s="1" t="n">
        <v>2</v>
      </c>
      <c r="D65" s="1" t="s">
        <v>30</v>
      </c>
    </row>
    <row r="66" customFormat="false" ht="15" hidden="false" customHeight="true" outlineLevel="0" collapsed="false">
      <c r="A66" s="1" t="n">
        <v>65</v>
      </c>
      <c r="B66" s="1" t="n">
        <v>756</v>
      </c>
      <c r="C66" s="1" t="n">
        <v>61</v>
      </c>
      <c r="D66" s="1" t="s">
        <v>30</v>
      </c>
    </row>
    <row r="67" customFormat="false" ht="15" hidden="false" customHeight="true" outlineLevel="0" collapsed="false">
      <c r="A67" s="1" t="n">
        <v>66</v>
      </c>
      <c r="B67" s="1" t="n">
        <v>188</v>
      </c>
      <c r="C67" s="1" t="n">
        <v>34</v>
      </c>
      <c r="D67" s="1" t="s">
        <v>30</v>
      </c>
    </row>
    <row r="68" customFormat="false" ht="15" hidden="false" customHeight="true" outlineLevel="0" collapsed="false">
      <c r="A68" s="1" t="n">
        <v>67</v>
      </c>
      <c r="B68" s="1" t="n">
        <v>859</v>
      </c>
      <c r="C68" s="1" t="n">
        <v>41</v>
      </c>
      <c r="D68" s="1" t="s">
        <v>30</v>
      </c>
    </row>
    <row r="69" customFormat="false" ht="15" hidden="false" customHeight="true" outlineLevel="0" collapsed="false">
      <c r="A69" s="1" t="n">
        <v>68</v>
      </c>
      <c r="B69" s="1" t="n">
        <v>761</v>
      </c>
      <c r="C69" s="1" t="n">
        <v>100</v>
      </c>
      <c r="D69" s="1" t="s">
        <v>29</v>
      </c>
    </row>
    <row r="70" customFormat="false" ht="15" hidden="false" customHeight="true" outlineLevel="0" collapsed="false">
      <c r="A70" s="1" t="n">
        <v>69</v>
      </c>
      <c r="B70" s="1" t="n">
        <v>951</v>
      </c>
      <c r="C70" s="1" t="n">
        <v>17</v>
      </c>
      <c r="D70" s="1" t="s">
        <v>28</v>
      </c>
    </row>
    <row r="71" customFormat="false" ht="15" hidden="false" customHeight="true" outlineLevel="0" collapsed="false">
      <c r="A71" s="1" t="n">
        <v>70</v>
      </c>
      <c r="B71" s="1" t="n">
        <v>831</v>
      </c>
      <c r="C71" s="1" t="n">
        <v>38</v>
      </c>
      <c r="D71" s="1" t="s">
        <v>30</v>
      </c>
    </row>
    <row r="72" customFormat="false" ht="15" hidden="false" customHeight="true" outlineLevel="0" collapsed="false">
      <c r="A72" s="1" t="n">
        <v>71</v>
      </c>
      <c r="B72" s="1" t="n">
        <v>842</v>
      </c>
      <c r="C72" s="1" t="n">
        <v>68</v>
      </c>
      <c r="D72" s="1" t="s">
        <v>28</v>
      </c>
    </row>
    <row r="73" customFormat="false" ht="15" hidden="false" customHeight="true" outlineLevel="0" collapsed="false">
      <c r="A73" s="1" t="n">
        <v>72</v>
      </c>
      <c r="B73" s="1" t="n">
        <v>882</v>
      </c>
      <c r="C73" s="1" t="n">
        <v>68</v>
      </c>
      <c r="D73" s="1" t="s">
        <v>28</v>
      </c>
    </row>
    <row r="74" customFormat="false" ht="15" hidden="false" customHeight="true" outlineLevel="0" collapsed="false">
      <c r="A74" s="1" t="n">
        <v>73</v>
      </c>
      <c r="B74" s="1" t="n">
        <v>460</v>
      </c>
      <c r="C74" s="1" t="n">
        <v>71</v>
      </c>
      <c r="D74" s="1" t="s">
        <v>31</v>
      </c>
    </row>
    <row r="75" customFormat="false" ht="15" hidden="false" customHeight="true" outlineLevel="0" collapsed="false">
      <c r="A75" s="1" t="n">
        <v>74</v>
      </c>
      <c r="B75" s="1" t="n">
        <v>684</v>
      </c>
      <c r="C75" s="1" t="n">
        <v>62</v>
      </c>
      <c r="D75" s="1" t="s">
        <v>30</v>
      </c>
    </row>
    <row r="76" customFormat="false" ht="15" hidden="false" customHeight="true" outlineLevel="0" collapsed="false">
      <c r="A76" s="1" t="n">
        <v>75</v>
      </c>
      <c r="B76" s="1" t="n">
        <v>880</v>
      </c>
      <c r="C76" s="1" t="n">
        <v>95</v>
      </c>
      <c r="D76" s="1" t="s">
        <v>28</v>
      </c>
    </row>
    <row r="77" customFormat="false" ht="15" hidden="false" customHeight="true" outlineLevel="0" collapsed="false">
      <c r="A77" s="1" t="n">
        <v>76</v>
      </c>
      <c r="B77" s="1" t="n">
        <v>594</v>
      </c>
      <c r="C77" s="1" t="n">
        <v>89</v>
      </c>
      <c r="D77" s="1" t="s">
        <v>29</v>
      </c>
    </row>
    <row r="78" customFormat="false" ht="15" hidden="false" customHeight="true" outlineLevel="0" collapsed="false">
      <c r="A78" s="1" t="n">
        <v>77</v>
      </c>
      <c r="B78" s="1" t="n">
        <v>381</v>
      </c>
      <c r="C78" s="1" t="n">
        <v>5</v>
      </c>
      <c r="D78" s="1" t="s">
        <v>30</v>
      </c>
    </row>
    <row r="79" customFormat="false" ht="15" hidden="false" customHeight="true" outlineLevel="0" collapsed="false">
      <c r="A79" s="1" t="n">
        <v>78</v>
      </c>
      <c r="B79" s="1" t="n">
        <v>857</v>
      </c>
      <c r="C79" s="1" t="n">
        <v>28</v>
      </c>
      <c r="D79" s="1" t="s">
        <v>30</v>
      </c>
    </row>
    <row r="80" customFormat="false" ht="15" hidden="false" customHeight="true" outlineLevel="0" collapsed="false">
      <c r="A80" s="1" t="n">
        <v>79</v>
      </c>
      <c r="B80" s="1" t="n">
        <v>615</v>
      </c>
      <c r="C80" s="1" t="n">
        <v>24</v>
      </c>
      <c r="D80" s="1" t="s">
        <v>30</v>
      </c>
    </row>
    <row r="81" customFormat="false" ht="15" hidden="false" customHeight="true" outlineLevel="0" collapsed="false">
      <c r="A81" s="1" t="n">
        <v>80</v>
      </c>
      <c r="B81" s="1" t="n">
        <v>146</v>
      </c>
      <c r="C81" s="1" t="n">
        <v>87</v>
      </c>
      <c r="D81" s="1" t="s">
        <v>28</v>
      </c>
    </row>
    <row r="82" customFormat="false" ht="15" hidden="false" customHeight="true" outlineLevel="0" collapsed="false">
      <c r="A82" s="1" t="n">
        <v>81</v>
      </c>
      <c r="B82" s="1" t="n">
        <v>765</v>
      </c>
      <c r="C82" s="1" t="n">
        <v>41</v>
      </c>
      <c r="D82" s="1" t="s">
        <v>31</v>
      </c>
    </row>
    <row r="83" customFormat="false" ht="15" hidden="false" customHeight="true" outlineLevel="0" collapsed="false">
      <c r="A83" s="1" t="n">
        <v>82</v>
      </c>
      <c r="B83" s="1" t="n">
        <v>472</v>
      </c>
      <c r="C83" s="1" t="n">
        <v>57</v>
      </c>
      <c r="D83" s="1" t="s">
        <v>28</v>
      </c>
    </row>
    <row r="84" customFormat="false" ht="15" hidden="false" customHeight="true" outlineLevel="0" collapsed="false">
      <c r="A84" s="1" t="n">
        <v>83</v>
      </c>
      <c r="B84" s="1" t="n">
        <v>518</v>
      </c>
      <c r="C84" s="1" t="n">
        <v>57</v>
      </c>
      <c r="D84" s="1" t="s">
        <v>28</v>
      </c>
    </row>
    <row r="85" customFormat="false" ht="15" hidden="false" customHeight="true" outlineLevel="0" collapsed="false">
      <c r="A85" s="1" t="n">
        <v>84</v>
      </c>
      <c r="B85" s="1" t="n">
        <v>669</v>
      </c>
      <c r="C85" s="1" t="n">
        <v>44</v>
      </c>
      <c r="D85" s="1" t="s">
        <v>29</v>
      </c>
    </row>
    <row r="86" customFormat="false" ht="15" hidden="false" customHeight="true" outlineLevel="0" collapsed="false">
      <c r="A86" s="1" t="n">
        <v>85</v>
      </c>
      <c r="B86" s="1" t="n">
        <v>781</v>
      </c>
      <c r="C86" s="1" t="n">
        <v>23</v>
      </c>
      <c r="D86" s="1" t="s">
        <v>28</v>
      </c>
    </row>
    <row r="87" customFormat="false" ht="15" hidden="false" customHeight="true" outlineLevel="0" collapsed="false">
      <c r="A87" s="1" t="n">
        <v>86</v>
      </c>
      <c r="B87" s="1" t="n">
        <v>379</v>
      </c>
      <c r="C87" s="1" t="n">
        <v>36</v>
      </c>
      <c r="D87" s="1" t="s">
        <v>29</v>
      </c>
    </row>
    <row r="88" customFormat="false" ht="15" hidden="false" customHeight="true" outlineLevel="0" collapsed="false">
      <c r="A88" s="1" t="n">
        <v>87</v>
      </c>
      <c r="B88" s="1" t="n">
        <v>826</v>
      </c>
      <c r="C88" s="1" t="n">
        <v>47</v>
      </c>
      <c r="D88" s="1" t="s">
        <v>29</v>
      </c>
    </row>
    <row r="89" customFormat="false" ht="15" hidden="false" customHeight="true" outlineLevel="0" collapsed="false">
      <c r="A89" s="1" t="n">
        <v>88</v>
      </c>
      <c r="B89" s="1" t="n">
        <v>165</v>
      </c>
      <c r="C89" s="1" t="n">
        <v>41</v>
      </c>
      <c r="D89" s="1" t="s">
        <v>29</v>
      </c>
    </row>
    <row r="90" customFormat="false" ht="15" hidden="false" customHeight="true" outlineLevel="0" collapsed="false">
      <c r="A90" s="1" t="n">
        <v>89</v>
      </c>
      <c r="B90" s="1" t="n">
        <v>890</v>
      </c>
      <c r="C90" s="1" t="n">
        <v>29</v>
      </c>
      <c r="D90" s="1" t="s">
        <v>31</v>
      </c>
    </row>
    <row r="91" customFormat="false" ht="15" hidden="false" customHeight="true" outlineLevel="0" collapsed="false">
      <c r="A91" s="1" t="n">
        <v>90</v>
      </c>
      <c r="B91" s="1" t="n">
        <v>483</v>
      </c>
      <c r="C91" s="1" t="n">
        <v>99</v>
      </c>
      <c r="D91" s="1" t="s">
        <v>30</v>
      </c>
    </row>
    <row r="92" customFormat="false" ht="15" hidden="false" customHeight="true" outlineLevel="0" collapsed="false">
      <c r="A92" s="1" t="n">
        <v>91</v>
      </c>
      <c r="B92" s="1" t="n">
        <v>324</v>
      </c>
      <c r="C92" s="1" t="n">
        <v>74</v>
      </c>
      <c r="D92" s="1" t="s">
        <v>30</v>
      </c>
    </row>
    <row r="93" customFormat="false" ht="15" hidden="false" customHeight="true" outlineLevel="0" collapsed="false">
      <c r="A93" s="1" t="n">
        <v>92</v>
      </c>
      <c r="B93" s="1" t="n">
        <v>258</v>
      </c>
      <c r="C93" s="1" t="n">
        <v>82</v>
      </c>
      <c r="D93" s="1" t="s">
        <v>31</v>
      </c>
    </row>
    <row r="94" customFormat="false" ht="15" hidden="false" customHeight="true" outlineLevel="0" collapsed="false">
      <c r="A94" s="1" t="n">
        <v>93</v>
      </c>
      <c r="B94" s="1" t="n">
        <v>746</v>
      </c>
      <c r="C94" s="1" t="n">
        <v>99</v>
      </c>
      <c r="D94" s="1" t="s">
        <v>28</v>
      </c>
    </row>
    <row r="95" customFormat="false" ht="15" hidden="false" customHeight="true" outlineLevel="0" collapsed="false">
      <c r="A95" s="1" t="n">
        <v>94</v>
      </c>
      <c r="B95" s="1" t="n">
        <v>141</v>
      </c>
      <c r="C95" s="1" t="n">
        <v>54</v>
      </c>
      <c r="D95" s="1" t="s">
        <v>31</v>
      </c>
    </row>
    <row r="96" customFormat="false" ht="15" hidden="false" customHeight="true" outlineLevel="0" collapsed="false">
      <c r="A96" s="1" t="n">
        <v>95</v>
      </c>
      <c r="B96" s="1" t="n">
        <v>295</v>
      </c>
      <c r="C96" s="1" t="n">
        <v>64</v>
      </c>
      <c r="D96" s="1" t="s">
        <v>31</v>
      </c>
    </row>
    <row r="97" customFormat="false" ht="15" hidden="false" customHeight="true" outlineLevel="0" collapsed="false">
      <c r="A97" s="1" t="n">
        <v>96</v>
      </c>
      <c r="B97" s="1" t="n">
        <v>440</v>
      </c>
      <c r="C97" s="1" t="n">
        <v>47</v>
      </c>
      <c r="D97" s="1" t="s">
        <v>29</v>
      </c>
    </row>
    <row r="98" customFormat="false" ht="15" hidden="false" customHeight="true" outlineLevel="0" collapsed="false">
      <c r="A98" s="1" t="n">
        <v>97</v>
      </c>
      <c r="B98" s="1" t="n">
        <v>569</v>
      </c>
      <c r="C98" s="1" t="n">
        <v>41</v>
      </c>
      <c r="D98" s="1" t="s">
        <v>31</v>
      </c>
    </row>
    <row r="99" customFormat="false" ht="15" hidden="false" customHeight="true" outlineLevel="0" collapsed="false">
      <c r="A99" s="1" t="n">
        <v>98</v>
      </c>
      <c r="B99" s="1" t="n">
        <v>640</v>
      </c>
      <c r="C99" s="1" t="n">
        <v>45</v>
      </c>
      <c r="D99" s="1" t="s">
        <v>31</v>
      </c>
    </row>
    <row r="100" customFormat="false" ht="15" hidden="false" customHeight="true" outlineLevel="0" collapsed="false">
      <c r="A100" s="1" t="n">
        <v>99</v>
      </c>
      <c r="B100" s="1" t="n">
        <v>673</v>
      </c>
      <c r="C100" s="1" t="n">
        <v>96</v>
      </c>
      <c r="D100" s="1" t="s">
        <v>29</v>
      </c>
    </row>
    <row r="101" customFormat="false" ht="15" hidden="false" customHeight="true" outlineLevel="0" collapsed="false">
      <c r="A101" s="1" t="n">
        <v>100</v>
      </c>
      <c r="B101" s="1" t="n">
        <v>228</v>
      </c>
      <c r="C101" s="1" t="n">
        <v>77</v>
      </c>
      <c r="D101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2025-12-03T10:49:58Z</dcterms:created>
  <dc:creator>openpyxl</dc:creator>
  <dc:description/>
  <dc:language>en-US</dc:language>
  <cp:lastModifiedBy/>
  <dcterms:modified xsi:type="dcterms:W3CDTF">2025-12-03T10:50:12Z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